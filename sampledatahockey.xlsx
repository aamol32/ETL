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/>
  </bookViews>
  <sheets>
    <sheet name="PlayerData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5" l="1"/>
  <c r="N4" i="5" s="1"/>
  <c r="O4" i="5" s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L4" i="5" l="1"/>
  <c r="N99" i="5" l="1"/>
  <c r="O99" i="5" s="1"/>
  <c r="N95" i="5"/>
  <c r="O95" i="5" s="1"/>
  <c r="N91" i="5"/>
  <c r="O91" i="5" s="1"/>
  <c r="N87" i="5"/>
  <c r="O87" i="5" s="1"/>
  <c r="N83" i="5"/>
  <c r="O83" i="5" s="1"/>
  <c r="N79" i="5"/>
  <c r="O79" i="5" s="1"/>
  <c r="N75" i="5"/>
  <c r="O75" i="5" s="1"/>
  <c r="N71" i="5"/>
  <c r="O71" i="5" s="1"/>
  <c r="N67" i="5"/>
  <c r="O67" i="5" s="1"/>
  <c r="N63" i="5"/>
  <c r="O63" i="5" s="1"/>
  <c r="N59" i="5"/>
  <c r="O59" i="5" s="1"/>
  <c r="N55" i="5"/>
  <c r="O55" i="5" s="1"/>
  <c r="N51" i="5"/>
  <c r="O51" i="5" s="1"/>
  <c r="N47" i="5"/>
  <c r="O47" i="5" s="1"/>
  <c r="N43" i="5"/>
  <c r="O43" i="5" s="1"/>
  <c r="N39" i="5"/>
  <c r="O39" i="5" s="1"/>
  <c r="N35" i="5"/>
  <c r="O35" i="5" s="1"/>
  <c r="N31" i="5"/>
  <c r="O31" i="5" s="1"/>
  <c r="N27" i="5"/>
  <c r="O27" i="5" s="1"/>
  <c r="N23" i="5"/>
  <c r="O23" i="5" s="1"/>
  <c r="N19" i="5"/>
  <c r="O19" i="5" s="1"/>
  <c r="N15" i="5"/>
  <c r="O15" i="5" s="1"/>
  <c r="N11" i="5"/>
  <c r="O11" i="5" s="1"/>
  <c r="N7" i="5"/>
  <c r="O7" i="5" s="1"/>
  <c r="N98" i="5"/>
  <c r="O98" i="5" s="1"/>
  <c r="N94" i="5"/>
  <c r="O94" i="5" s="1"/>
  <c r="N90" i="5"/>
  <c r="O90" i="5" s="1"/>
  <c r="N86" i="5"/>
  <c r="O86" i="5" s="1"/>
  <c r="N82" i="5"/>
  <c r="O82" i="5" s="1"/>
  <c r="N78" i="5"/>
  <c r="O78" i="5" s="1"/>
  <c r="N74" i="5"/>
  <c r="O74" i="5" s="1"/>
  <c r="N70" i="5"/>
  <c r="O70" i="5" s="1"/>
  <c r="N66" i="5"/>
  <c r="O66" i="5" s="1"/>
  <c r="N62" i="5"/>
  <c r="O62" i="5" s="1"/>
  <c r="N58" i="5"/>
  <c r="O58" i="5" s="1"/>
  <c r="N54" i="5"/>
  <c r="O54" i="5" s="1"/>
  <c r="N50" i="5"/>
  <c r="O50" i="5" s="1"/>
  <c r="N46" i="5"/>
  <c r="O46" i="5" s="1"/>
  <c r="N42" i="5"/>
  <c r="O42" i="5" s="1"/>
  <c r="N38" i="5"/>
  <c r="O38" i="5" s="1"/>
  <c r="N34" i="5"/>
  <c r="O34" i="5" s="1"/>
  <c r="N30" i="5"/>
  <c r="O30" i="5" s="1"/>
  <c r="N26" i="5"/>
  <c r="O26" i="5" s="1"/>
  <c r="N22" i="5"/>
  <c r="O22" i="5" s="1"/>
  <c r="N18" i="5"/>
  <c r="O18" i="5" s="1"/>
  <c r="N14" i="5"/>
  <c r="O14" i="5" s="1"/>
  <c r="N10" i="5"/>
  <c r="O10" i="5" s="1"/>
  <c r="N6" i="5"/>
  <c r="O6" i="5" s="1"/>
  <c r="N97" i="5"/>
  <c r="O97" i="5" s="1"/>
  <c r="N93" i="5"/>
  <c r="O93" i="5" s="1"/>
  <c r="N89" i="5"/>
  <c r="O89" i="5" s="1"/>
  <c r="N85" i="5"/>
  <c r="O85" i="5" s="1"/>
  <c r="N81" i="5"/>
  <c r="O81" i="5" s="1"/>
  <c r="N77" i="5"/>
  <c r="O77" i="5" s="1"/>
  <c r="N73" i="5"/>
  <c r="O73" i="5" s="1"/>
  <c r="N69" i="5"/>
  <c r="O69" i="5" s="1"/>
  <c r="N65" i="5"/>
  <c r="O65" i="5" s="1"/>
  <c r="N61" i="5"/>
  <c r="O61" i="5" s="1"/>
  <c r="N57" i="5"/>
  <c r="O57" i="5" s="1"/>
  <c r="N53" i="5"/>
  <c r="O53" i="5" s="1"/>
  <c r="N49" i="5"/>
  <c r="O49" i="5" s="1"/>
  <c r="N45" i="5"/>
  <c r="O45" i="5" s="1"/>
  <c r="N41" i="5"/>
  <c r="O41" i="5" s="1"/>
  <c r="N37" i="5"/>
  <c r="O37" i="5" s="1"/>
  <c r="N33" i="5"/>
  <c r="O33" i="5" s="1"/>
  <c r="N29" i="5"/>
  <c r="O29" i="5" s="1"/>
  <c r="N25" i="5"/>
  <c r="O25" i="5" s="1"/>
  <c r="N21" i="5"/>
  <c r="O21" i="5" s="1"/>
  <c r="N17" i="5"/>
  <c r="O17" i="5" s="1"/>
  <c r="N13" i="5"/>
  <c r="O13" i="5" s="1"/>
  <c r="N9" i="5"/>
  <c r="O9" i="5" s="1"/>
  <c r="N5" i="5"/>
  <c r="O5" i="5" s="1"/>
  <c r="N96" i="5"/>
  <c r="O96" i="5" s="1"/>
  <c r="N92" i="5"/>
  <c r="O92" i="5" s="1"/>
  <c r="N88" i="5"/>
  <c r="O88" i="5" s="1"/>
  <c r="N84" i="5"/>
  <c r="O84" i="5" s="1"/>
  <c r="N80" i="5"/>
  <c r="O80" i="5" s="1"/>
  <c r="N76" i="5"/>
  <c r="O76" i="5" s="1"/>
  <c r="N72" i="5"/>
  <c r="O72" i="5" s="1"/>
  <c r="N68" i="5"/>
  <c r="O68" i="5" s="1"/>
  <c r="N64" i="5"/>
  <c r="O64" i="5" s="1"/>
  <c r="N60" i="5"/>
  <c r="O60" i="5" s="1"/>
  <c r="N56" i="5"/>
  <c r="O56" i="5" s="1"/>
  <c r="N52" i="5"/>
  <c r="O52" i="5" s="1"/>
  <c r="N48" i="5"/>
  <c r="O48" i="5" s="1"/>
  <c r="N44" i="5"/>
  <c r="O44" i="5" s="1"/>
  <c r="N40" i="5"/>
  <c r="O40" i="5" s="1"/>
  <c r="N36" i="5"/>
  <c r="O36" i="5" s="1"/>
  <c r="N32" i="5"/>
  <c r="O32" i="5" s="1"/>
  <c r="N28" i="5"/>
  <c r="O28" i="5" s="1"/>
  <c r="N24" i="5"/>
  <c r="O24" i="5" s="1"/>
  <c r="N20" i="5"/>
  <c r="O20" i="5" s="1"/>
  <c r="N16" i="5"/>
  <c r="O16" i="5" s="1"/>
  <c r="N12" i="5"/>
  <c r="O12" i="5" s="1"/>
  <c r="N8" i="5"/>
  <c r="O8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</calcChain>
</file>

<file path=xl/sharedStrings.xml><?xml version="1.0" encoding="utf-8"?>
<sst xmlns="http://schemas.openxmlformats.org/spreadsheetml/2006/main" count="785" uniqueCount="322">
  <si>
    <t>Women</t>
  </si>
  <si>
    <t>Men</t>
  </si>
  <si>
    <t>USA</t>
  </si>
  <si>
    <t>Cayla</t>
  </si>
  <si>
    <t>Barnes</t>
  </si>
  <si>
    <t>Eastvale</t>
  </si>
  <si>
    <t>Calif.</t>
  </si>
  <si>
    <t>Kacey</t>
  </si>
  <si>
    <t>Bellamy</t>
  </si>
  <si>
    <t>Westfield</t>
  </si>
  <si>
    <t>Mass.</t>
  </si>
  <si>
    <t>Hannah</t>
  </si>
  <si>
    <t>Brandt</t>
  </si>
  <si>
    <t>Minn.</t>
  </si>
  <si>
    <t>Forward</t>
  </si>
  <si>
    <t>Dani</t>
  </si>
  <si>
    <t>Cameranesi</t>
  </si>
  <si>
    <t>Plymouth</t>
  </si>
  <si>
    <t>Kendall</t>
  </si>
  <si>
    <t>Coyne</t>
  </si>
  <si>
    <t>Ill.</t>
  </si>
  <si>
    <t>Brianna</t>
  </si>
  <si>
    <t>Decker</t>
  </si>
  <si>
    <t>Dousman</t>
  </si>
  <si>
    <t>Wis.</t>
  </si>
  <si>
    <t>Meghan</t>
  </si>
  <si>
    <t>Duggan</t>
  </si>
  <si>
    <t>Danvers</t>
  </si>
  <si>
    <t>Kali</t>
  </si>
  <si>
    <t>Flanagan</t>
  </si>
  <si>
    <t>Burlington</t>
  </si>
  <si>
    <t>Nicole</t>
  </si>
  <si>
    <t>Hensley</t>
  </si>
  <si>
    <t>Lakewood</t>
  </si>
  <si>
    <t>Colo.</t>
  </si>
  <si>
    <t>Goalie</t>
  </si>
  <si>
    <t>Megan</t>
  </si>
  <si>
    <t>Keller</t>
  </si>
  <si>
    <t>Farmington</t>
  </si>
  <si>
    <t>Mich.</t>
  </si>
  <si>
    <t>Amanda</t>
  </si>
  <si>
    <t>Kessel</t>
  </si>
  <si>
    <t>Madison</t>
  </si>
  <si>
    <t>Hilary</t>
  </si>
  <si>
    <t>Knight</t>
  </si>
  <si>
    <t>Idaho</t>
  </si>
  <si>
    <t>Jocelyne</t>
  </si>
  <si>
    <t>Lamoureux-Davidson</t>
  </si>
  <si>
    <t>N.D.</t>
  </si>
  <si>
    <t>Monique</t>
  </si>
  <si>
    <t>Lamoureux-Morando</t>
  </si>
  <si>
    <t>Gigi</t>
  </si>
  <si>
    <t>Marvin</t>
  </si>
  <si>
    <t>Warroad</t>
  </si>
  <si>
    <t>Sidney</t>
  </si>
  <si>
    <t>Morin</t>
  </si>
  <si>
    <t>Minnetonka</t>
  </si>
  <si>
    <t>Kelly</t>
  </si>
  <si>
    <t>Pannek</t>
  </si>
  <si>
    <t>Pelkey</t>
  </si>
  <si>
    <t>Montpelier</t>
  </si>
  <si>
    <t>Vt.</t>
  </si>
  <si>
    <t>Emily</t>
  </si>
  <si>
    <t>Pfalzer</t>
  </si>
  <si>
    <t>Buffalo</t>
  </si>
  <si>
    <t>N.Y.</t>
  </si>
  <si>
    <t>Alex</t>
  </si>
  <si>
    <t>Rigsby</t>
  </si>
  <si>
    <t>Delafield</t>
  </si>
  <si>
    <t>Maddie</t>
  </si>
  <si>
    <t>Rooney</t>
  </si>
  <si>
    <t>Andover</t>
  </si>
  <si>
    <t>Haley</t>
  </si>
  <si>
    <t>Skarupa</t>
  </si>
  <si>
    <t>Rockville</t>
  </si>
  <si>
    <t>Md.</t>
  </si>
  <si>
    <t>Lee</t>
  </si>
  <si>
    <t>Stecklein</t>
  </si>
  <si>
    <t>Roseville</t>
  </si>
  <si>
    <t>Mark</t>
  </si>
  <si>
    <t>Arcobello</t>
  </si>
  <si>
    <t>Milford</t>
  </si>
  <si>
    <t>Conn.</t>
  </si>
  <si>
    <t>Chad</t>
  </si>
  <si>
    <t>Billins</t>
  </si>
  <si>
    <t>Marysville</t>
  </si>
  <si>
    <t>Jonathan</t>
  </si>
  <si>
    <t>Blum</t>
  </si>
  <si>
    <t>Will</t>
  </si>
  <si>
    <t>Borgen</t>
  </si>
  <si>
    <t>Moorhead</t>
  </si>
  <si>
    <t>Chris</t>
  </si>
  <si>
    <t>Bourque</t>
  </si>
  <si>
    <t>Bobby</t>
  </si>
  <si>
    <t>Butler</t>
  </si>
  <si>
    <t>Marlborough</t>
  </si>
  <si>
    <t>Ryan</t>
  </si>
  <si>
    <t>Donato</t>
  </si>
  <si>
    <t>Scituate</t>
  </si>
  <si>
    <t>Matt</t>
  </si>
  <si>
    <t>Gilroy</t>
  </si>
  <si>
    <t>Bellmore</t>
  </si>
  <si>
    <t>Brian</t>
  </si>
  <si>
    <t>Gionta</t>
  </si>
  <si>
    <t>Rochester</t>
  </si>
  <si>
    <t>Jordan</t>
  </si>
  <si>
    <t>Greenway</t>
  </si>
  <si>
    <t>Canton</t>
  </si>
  <si>
    <t>Gunderson</t>
  </si>
  <si>
    <t>Bensalem</t>
  </si>
  <si>
    <t>Pa.</t>
  </si>
  <si>
    <t>Kolarik</t>
  </si>
  <si>
    <t>Abington</t>
  </si>
  <si>
    <t>David</t>
  </si>
  <si>
    <t>Leggio</t>
  </si>
  <si>
    <t>Broc</t>
  </si>
  <si>
    <t>Little</t>
  </si>
  <si>
    <t>Rindge</t>
  </si>
  <si>
    <t>N.H.</t>
  </si>
  <si>
    <t>Brandon</t>
  </si>
  <si>
    <t>Maxwell</t>
  </si>
  <si>
    <t>Fla.</t>
  </si>
  <si>
    <t>John</t>
  </si>
  <si>
    <t>McCarthy</t>
  </si>
  <si>
    <t>Boston</t>
  </si>
  <si>
    <t>O'Neill</t>
  </si>
  <si>
    <t>Yardley</t>
  </si>
  <si>
    <t>Garrett</t>
  </si>
  <si>
    <t>Roe</t>
  </si>
  <si>
    <t>Vienna</t>
  </si>
  <si>
    <t>Va.</t>
  </si>
  <si>
    <t>Sanguinetti</t>
  </si>
  <si>
    <t>Wilmington</t>
  </si>
  <si>
    <t>N.C.</t>
  </si>
  <si>
    <t>Jim</t>
  </si>
  <si>
    <t>Slater</t>
  </si>
  <si>
    <t>Lapeer</t>
  </si>
  <si>
    <t>Stoa</t>
  </si>
  <si>
    <t>Bloomington</t>
  </si>
  <si>
    <t>Troy</t>
  </si>
  <si>
    <t>Terry</t>
  </si>
  <si>
    <t>Noah</t>
  </si>
  <si>
    <t>Welch</t>
  </si>
  <si>
    <t>Brighton</t>
  </si>
  <si>
    <t>James</t>
  </si>
  <si>
    <t>Wisniewski</t>
  </si>
  <si>
    <t>Zapolski</t>
  </si>
  <si>
    <t>Erie</t>
  </si>
  <si>
    <t>DOB</t>
  </si>
  <si>
    <t>Hometown</t>
  </si>
  <si>
    <t>Vadnais Heights</t>
  </si>
  <si>
    <t>Palos Heights</t>
  </si>
  <si>
    <t>Sun Valley</t>
  </si>
  <si>
    <t>Grand Forks</t>
  </si>
  <si>
    <t>Ladera Ranch</t>
  </si>
  <si>
    <t>North Reading</t>
  </si>
  <si>
    <t>Winter Park</t>
  </si>
  <si>
    <t>Highlands Ranch</t>
  </si>
  <si>
    <t>ID</t>
  </si>
  <si>
    <t>Team</t>
  </si>
  <si>
    <t>Country</t>
  </si>
  <si>
    <t>NameF</t>
  </si>
  <si>
    <t>NameL</t>
  </si>
  <si>
    <t>Weight</t>
  </si>
  <si>
    <t>Height</t>
  </si>
  <si>
    <t>Pos</t>
  </si>
  <si>
    <t>Gilbert</t>
  </si>
  <si>
    <t>Brulé</t>
  </si>
  <si>
    <t>5'11</t>
  </si>
  <si>
    <t>Wojtek</t>
  </si>
  <si>
    <t>Wolski</t>
  </si>
  <si>
    <t>6'3</t>
  </si>
  <si>
    <t>Derek</t>
  </si>
  <si>
    <t>Roy</t>
  </si>
  <si>
    <t>5'9</t>
  </si>
  <si>
    <t>6'0</t>
  </si>
  <si>
    <t>Rob</t>
  </si>
  <si>
    <t>Klinkhammer</t>
  </si>
  <si>
    <t>Kozun</t>
  </si>
  <si>
    <t>5'8</t>
  </si>
  <si>
    <t>Quinton</t>
  </si>
  <si>
    <t>Howden</t>
  </si>
  <si>
    <t>6'2</t>
  </si>
  <si>
    <t>René</t>
  </si>
  <si>
    <t>Andrew</t>
  </si>
  <si>
    <t>Ebbett</t>
  </si>
  <si>
    <t>Mason</t>
  </si>
  <si>
    <t>Raymond</t>
  </si>
  <si>
    <t>6'1</t>
  </si>
  <si>
    <t>Eric</t>
  </si>
  <si>
    <t>O’Dell</t>
  </si>
  <si>
    <t>Maxim</t>
  </si>
  <si>
    <t>Lapierre</t>
  </si>
  <si>
    <t>Linden</t>
  </si>
  <si>
    <t>Vey</t>
  </si>
  <si>
    <t>Christian</t>
  </si>
  <si>
    <t>Thomas</t>
  </si>
  <si>
    <t>Karl</t>
  </si>
  <si>
    <t>Stollery</t>
  </si>
  <si>
    <t>Chay</t>
  </si>
  <si>
    <t>Genoway</t>
  </si>
  <si>
    <t>Marc-Andre</t>
  </si>
  <si>
    <t>Gragnani</t>
  </si>
  <si>
    <t>Stefan</t>
  </si>
  <si>
    <t>Elliott</t>
  </si>
  <si>
    <t>Cody</t>
  </si>
  <si>
    <t>Goloubef</t>
  </si>
  <si>
    <t>Mat</t>
  </si>
  <si>
    <t>Robinson</t>
  </si>
  <si>
    <t>5'10</t>
  </si>
  <si>
    <t>Noreau</t>
  </si>
  <si>
    <t>Ben</t>
  </si>
  <si>
    <t>Scrivens</t>
  </si>
  <si>
    <t>Kevin</t>
  </si>
  <si>
    <t>Poulin</t>
  </si>
  <si>
    <t>Justin</t>
  </si>
  <si>
    <t>Peters</t>
  </si>
  <si>
    <t>Agosta</t>
  </si>
  <si>
    <t>5'7</t>
  </si>
  <si>
    <t>Canada</t>
  </si>
  <si>
    <t>Rebecca</t>
  </si>
  <si>
    <t>Johnston</t>
  </si>
  <si>
    <t>Calgary</t>
  </si>
  <si>
    <t>Laura</t>
  </si>
  <si>
    <t>Stacey</t>
  </si>
  <si>
    <t>Jennifer</t>
  </si>
  <si>
    <t>Wakefield</t>
  </si>
  <si>
    <t>Jillian</t>
  </si>
  <si>
    <t>Saulnier</t>
  </si>
  <si>
    <t>5'5</t>
  </si>
  <si>
    <t>Mélodie</t>
  </si>
  <si>
    <t>Daoust</t>
  </si>
  <si>
    <t>5'6</t>
  </si>
  <si>
    <t>Bailey</t>
  </si>
  <si>
    <t>Bram</t>
  </si>
  <si>
    <t>Brianne</t>
  </si>
  <si>
    <t>Jenner</t>
  </si>
  <si>
    <t>Sarah</t>
  </si>
  <si>
    <t>Nurse</t>
  </si>
  <si>
    <t>Irwin</t>
  </si>
  <si>
    <t>Natalie</t>
  </si>
  <si>
    <t>Spooner</t>
  </si>
  <si>
    <t>Toronto</t>
  </si>
  <si>
    <t>Clark</t>
  </si>
  <si>
    <t>Marie-Philip</t>
  </si>
  <si>
    <t>Montreal</t>
  </si>
  <si>
    <t>Blayre</t>
  </si>
  <si>
    <t>Turnbull</t>
  </si>
  <si>
    <t>Larocque</t>
  </si>
  <si>
    <t>Brigette</t>
  </si>
  <si>
    <t>Lacquette</t>
  </si>
  <si>
    <t>Lauriane</t>
  </si>
  <si>
    <t>Rougeau</t>
  </si>
  <si>
    <t>Fortino</t>
  </si>
  <si>
    <t>5'4</t>
  </si>
  <si>
    <t>Meaghan</t>
  </si>
  <si>
    <t>Mikkelson</t>
  </si>
  <si>
    <t>Renata</t>
  </si>
  <si>
    <t>Fast</t>
  </si>
  <si>
    <t>Shannon</t>
  </si>
  <si>
    <t>Szabados</t>
  </si>
  <si>
    <t>Geneviève</t>
  </si>
  <si>
    <t>Lacasse</t>
  </si>
  <si>
    <t>Ann-Renée</t>
  </si>
  <si>
    <t>Desbiens</t>
  </si>
  <si>
    <t>Prov</t>
  </si>
  <si>
    <t>Ruthven</t>
  </si>
  <si>
    <t>Sudbury</t>
  </si>
  <si>
    <t>Kleinburg</t>
  </si>
  <si>
    <t>Pickering</t>
  </si>
  <si>
    <t>Halifax</t>
  </si>
  <si>
    <t>Valleyfield</t>
  </si>
  <si>
    <t>St. Anne</t>
  </si>
  <si>
    <t>Oakville</t>
  </si>
  <si>
    <t>Hamilton</t>
  </si>
  <si>
    <t>Thunder Bay</t>
  </si>
  <si>
    <t>Scarborough</t>
  </si>
  <si>
    <t>Saskatoon</t>
  </si>
  <si>
    <t>Beauceville</t>
  </si>
  <si>
    <t>Stellarton</t>
  </si>
  <si>
    <t>Ste. Anne</t>
  </si>
  <si>
    <t>Mallard</t>
  </si>
  <si>
    <t>Beaconsfield</t>
  </si>
  <si>
    <t>St. Albert</t>
  </si>
  <si>
    <t>Edmonton</t>
  </si>
  <si>
    <t>Kingston</t>
  </si>
  <si>
    <t>La Malbaie</t>
  </si>
  <si>
    <t>Vancouver</t>
  </si>
  <si>
    <t>Rockland</t>
  </si>
  <si>
    <t>Lethbridge</t>
  </si>
  <si>
    <t>Oakbank</t>
  </si>
  <si>
    <t>Lac La Biche</t>
  </si>
  <si>
    <t>Vernon</t>
  </si>
  <si>
    <t>Cochrane</t>
  </si>
  <si>
    <t>Ottawa</t>
  </si>
  <si>
    <t>Brossard</t>
  </si>
  <si>
    <t>Wakaw</t>
  </si>
  <si>
    <t>Camrose</t>
  </si>
  <si>
    <t>MacTier</t>
  </si>
  <si>
    <t>Morden</t>
  </si>
  <si>
    <t>L’Île-Bizard</t>
  </si>
  <si>
    <t>Spruce Grove</t>
  </si>
  <si>
    <t>Blyth</t>
  </si>
  <si>
    <t>HeightFt</t>
  </si>
  <si>
    <t>Age</t>
  </si>
  <si>
    <t>5'1</t>
  </si>
  <si>
    <t>5'2</t>
  </si>
  <si>
    <t>5'3</t>
  </si>
  <si>
    <t>6'5</t>
  </si>
  <si>
    <t>6'4</t>
  </si>
  <si>
    <t>Ont.</t>
  </si>
  <si>
    <t>N.S.</t>
  </si>
  <si>
    <t>Que.</t>
  </si>
  <si>
    <t>Man.</t>
  </si>
  <si>
    <t>Sask.</t>
  </si>
  <si>
    <t>Defence</t>
  </si>
  <si>
    <t>Alta.</t>
  </si>
  <si>
    <t>B.C.</t>
  </si>
  <si>
    <t>Olympic Hockey Teams 2018 - Canada and USA</t>
  </si>
  <si>
    <t>HtIn</t>
  </si>
  <si>
    <t>BMI</t>
  </si>
  <si>
    <t>BMI = weight in pounds / [height in inches x height in inches] x 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</si>
</sst>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0" fontId="3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</cellXfs>
  <cellStyles count="3">
    <cellStyle name="Ctx_Hyperlink" xfId="1"/>
    <cellStyle name="Normal" xfId="0" builtinId="0"/>
    <cellStyle name="Normal 4" xfId="2"/>
  </cellStyles>
  <dxfs count="9"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4C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3:O99" totalsRowShown="0">
  <autoFilter ref="A3:O99"/>
  <sortState ref="A4:N99">
    <sortCondition ref="A4"/>
  </sortState>
  <tableColumns count="15">
    <tableColumn id="1" name="ID"/>
    <tableColumn id="2" name="Team"/>
    <tableColumn id="3" name="Country"/>
    <tableColumn id="4" name="NameF"/>
    <tableColumn id="5" name="NameL"/>
    <tableColumn id="7" name="Weight"/>
    <tableColumn id="6" name="Height" dataDxfId="8"/>
    <tableColumn id="8" name="DOB" dataDxfId="7"/>
    <tableColumn id="9" name="Hometown" dataDxfId="6"/>
    <tableColumn id="10" name="Prov" dataDxfId="5"/>
    <tableColumn id="11" name="Pos" dataDxfId="4"/>
    <tableColumn id="17" name="Age" dataDxfId="3">
      <calculatedColumnFormula>DATEDIF(Table3[[#This Row],[DOB]],TODAY(),"y")</calculatedColumnFormula>
    </tableColumn>
    <tableColumn id="15" name="HeightFt" dataDxfId="2">
      <calculatedColumnFormula>SUM(LEFT(Table3[[#This Row],[Height]],1), RIGHT(Table3[[#This Row],[Height]], LEN(Table3[[#This Row],[Height]])-2)/12)</calculatedColumnFormula>
    </tableColumn>
    <tableColumn id="13" name="HtIn" dataDxfId="1">
      <calculatedColumnFormula>Table3[[#This Row],[HeightFt]]*12</calculatedColumnFormula>
    </tableColumn>
    <tableColumn id="12" name="BMI" dataDxfId="0">
      <calculatedColumnFormula>ROUND(Table3[[#This Row],[Weight]]/(Table3[[#This Row],[HtIn]]*Table3[[#This Row],[HtIn]])*703,0)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Y RED BLU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0000"/>
      </a:accent1>
      <a:accent2>
        <a:srgbClr val="0070C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99"/>
  <sheetViews>
    <sheetView showGridLines="0" tabSelected="1" workbookViewId="0">
      <pane ySplit="3" topLeftCell="A4" activePane="bottomLeft" state="frozen"/>
      <selection pane="bottomLeft" activeCell="I9" sqref="I9"/>
    </sheetView>
  </sheetViews>
  <sheetFormatPr defaultRowHeight="15" x14ac:dyDescent="0.25"/>
  <cols>
    <col min="1" max="1" width="8.28515625" bestFit="1" customWidth="1"/>
    <col min="2" max="3" width="12.5703125" customWidth="1"/>
    <col min="4" max="5" width="12.7109375" customWidth="1"/>
    <col min="6" max="6" width="6.7109375" customWidth="1"/>
    <col min="7" max="7" width="7.140625" style="4" customWidth="1"/>
    <col min="8" max="8" width="10.7109375" bestFit="1" customWidth="1"/>
    <col min="9" max="9" width="15.5703125" style="4" bestFit="1" customWidth="1"/>
    <col min="10" max="10" width="7.28515625" style="3" bestFit="1" customWidth="1"/>
    <col min="11" max="11" width="8.42578125" bestFit="1" customWidth="1"/>
    <col min="12" max="12" width="6.85546875" customWidth="1"/>
    <col min="13" max="13" width="8.28515625" style="4" customWidth="1"/>
    <col min="14" max="14" width="7.28515625" style="4" customWidth="1"/>
    <col min="15" max="15" width="7.85546875" customWidth="1"/>
    <col min="16" max="16" width="8.28515625" style="4" customWidth="1"/>
    <col min="17" max="17" width="8.85546875" bestFit="1" customWidth="1"/>
  </cols>
  <sheetData>
    <row r="1" spans="1:16" ht="18.75" x14ac:dyDescent="0.3">
      <c r="A1" s="2" t="s">
        <v>318</v>
      </c>
      <c r="H1" t="s">
        <v>321</v>
      </c>
      <c r="J1"/>
      <c r="L1" s="5"/>
      <c r="O1" s="4"/>
      <c r="P1"/>
    </row>
    <row r="2" spans="1:16" x14ac:dyDescent="0.25">
      <c r="I2"/>
      <c r="J2"/>
      <c r="L2" s="5"/>
      <c r="O2" s="4"/>
      <c r="P2"/>
    </row>
    <row r="3" spans="1:16" x14ac:dyDescent="0.25">
      <c r="A3" t="s">
        <v>158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s="4" t="s">
        <v>164</v>
      </c>
      <c r="H3" t="s">
        <v>148</v>
      </c>
      <c r="I3" t="s">
        <v>149</v>
      </c>
      <c r="J3" t="s">
        <v>265</v>
      </c>
      <c r="K3" t="s">
        <v>165</v>
      </c>
      <c r="L3" s="5" t="s">
        <v>304</v>
      </c>
      <c r="M3" s="4" t="s">
        <v>303</v>
      </c>
      <c r="N3" s="6" t="s">
        <v>319</v>
      </c>
      <c r="O3" s="6" t="s">
        <v>320</v>
      </c>
      <c r="P3"/>
    </row>
    <row r="4" spans="1:16" x14ac:dyDescent="0.25">
      <c r="A4">
        <v>1</v>
      </c>
      <c r="B4" t="s">
        <v>0</v>
      </c>
      <c r="C4" t="s">
        <v>219</v>
      </c>
      <c r="D4" t="s">
        <v>25</v>
      </c>
      <c r="E4" t="s">
        <v>217</v>
      </c>
      <c r="F4">
        <v>148</v>
      </c>
      <c r="G4" s="4" t="s">
        <v>218</v>
      </c>
      <c r="H4" s="1">
        <v>31820</v>
      </c>
      <c r="I4" t="s">
        <v>266</v>
      </c>
      <c r="J4" t="s">
        <v>310</v>
      </c>
      <c r="K4" t="s">
        <v>14</v>
      </c>
      <c r="L4" s="8">
        <f ca="1">DATEDIF(Table3[[#This Row],[DOB]],TODAY(),"y")</f>
        <v>35</v>
      </c>
      <c r="M4" s="7">
        <f>SUM(LEFT(Table3[[#This Row],[Height]],1), RIGHT(Table3[[#This Row],[Height]], LEN(Table3[[#This Row],[Height]])-2)/12)</f>
        <v>5.583333333333333</v>
      </c>
      <c r="N4" s="7">
        <f>Table3[[#This Row],[HeightFt]]*12</f>
        <v>67</v>
      </c>
      <c r="O4" s="9">
        <f>ROUND(Table3[[#This Row],[Weight]]/(Table3[[#This Row],[HtIn]]*Table3[[#This Row],[HtIn]])*703,0)</f>
        <v>23</v>
      </c>
      <c r="P4"/>
    </row>
    <row r="5" spans="1:16" x14ac:dyDescent="0.25">
      <c r="A5">
        <v>2</v>
      </c>
      <c r="B5" t="s">
        <v>0</v>
      </c>
      <c r="C5" t="s">
        <v>219</v>
      </c>
      <c r="D5" t="s">
        <v>220</v>
      </c>
      <c r="E5" t="s">
        <v>221</v>
      </c>
      <c r="F5">
        <v>148</v>
      </c>
      <c r="G5" s="4" t="s">
        <v>174</v>
      </c>
      <c r="H5" s="1">
        <v>32775</v>
      </c>
      <c r="I5" t="s">
        <v>267</v>
      </c>
      <c r="J5" t="s">
        <v>310</v>
      </c>
      <c r="K5" t="s">
        <v>14</v>
      </c>
      <c r="L5" s="8">
        <f ca="1">DATEDIF(Table3[[#This Row],[DOB]],TODAY(),"y")</f>
        <v>32</v>
      </c>
      <c r="M5" s="7">
        <f>SUM(LEFT(Table3[[#This Row],[Height]],1), RIGHT(Table3[[#This Row],[Height]], LEN(Table3[[#This Row],[Height]])-2)/12)</f>
        <v>5.75</v>
      </c>
      <c r="N5" s="7">
        <f>Table3[[#This Row],[HeightFt]]*12</f>
        <v>69</v>
      </c>
      <c r="O5" s="9">
        <f>ROUND(Table3[[#This Row],[Weight]]/(Table3[[#This Row],[HtIn]]*Table3[[#This Row],[HtIn]])*703,0)</f>
        <v>22</v>
      </c>
      <c r="P5"/>
    </row>
    <row r="6" spans="1:16" x14ac:dyDescent="0.25">
      <c r="A6">
        <v>3</v>
      </c>
      <c r="B6" t="s">
        <v>0</v>
      </c>
      <c r="C6" t="s">
        <v>219</v>
      </c>
      <c r="D6" t="s">
        <v>223</v>
      </c>
      <c r="E6" t="s">
        <v>224</v>
      </c>
      <c r="F6">
        <v>156</v>
      </c>
      <c r="G6" s="4" t="s">
        <v>209</v>
      </c>
      <c r="H6" s="1">
        <v>34459</v>
      </c>
      <c r="I6" t="s">
        <v>268</v>
      </c>
      <c r="J6" t="s">
        <v>310</v>
      </c>
      <c r="K6" t="s">
        <v>14</v>
      </c>
      <c r="L6" s="8">
        <f ca="1">DATEDIF(Table3[[#This Row],[DOB]],TODAY(),"y")</f>
        <v>27</v>
      </c>
      <c r="M6" s="7">
        <f>SUM(LEFT(Table3[[#This Row],[Height]],1), RIGHT(Table3[[#This Row],[Height]], LEN(Table3[[#This Row],[Height]])-2)/12)</f>
        <v>5.833333333333333</v>
      </c>
      <c r="N6" s="7">
        <f>Table3[[#This Row],[HeightFt]]*12</f>
        <v>70</v>
      </c>
      <c r="O6" s="9">
        <f>ROUND(Table3[[#This Row],[Weight]]/(Table3[[#This Row],[HtIn]]*Table3[[#This Row],[HtIn]])*703,0)</f>
        <v>22</v>
      </c>
      <c r="P6"/>
    </row>
    <row r="7" spans="1:16" x14ac:dyDescent="0.25">
      <c r="A7">
        <v>4</v>
      </c>
      <c r="B7" t="s">
        <v>0</v>
      </c>
      <c r="C7" t="s">
        <v>219</v>
      </c>
      <c r="D7" t="s">
        <v>225</v>
      </c>
      <c r="E7" t="s">
        <v>226</v>
      </c>
      <c r="F7">
        <v>172</v>
      </c>
      <c r="G7" s="4" t="s">
        <v>209</v>
      </c>
      <c r="H7" s="1">
        <v>32674</v>
      </c>
      <c r="I7" t="s">
        <v>269</v>
      </c>
      <c r="J7" t="s">
        <v>310</v>
      </c>
      <c r="K7" t="s">
        <v>14</v>
      </c>
      <c r="L7" s="8">
        <f ca="1">DATEDIF(Table3[[#This Row],[DOB]],TODAY(),"y")</f>
        <v>32</v>
      </c>
      <c r="M7" s="7">
        <f>SUM(LEFT(Table3[[#This Row],[Height]],1), RIGHT(Table3[[#This Row],[Height]], LEN(Table3[[#This Row],[Height]])-2)/12)</f>
        <v>5.833333333333333</v>
      </c>
      <c r="N7" s="7">
        <f>Table3[[#This Row],[HeightFt]]*12</f>
        <v>70</v>
      </c>
      <c r="O7" s="9">
        <f>ROUND(Table3[[#This Row],[Weight]]/(Table3[[#This Row],[HtIn]]*Table3[[#This Row],[HtIn]])*703,0)</f>
        <v>25</v>
      </c>
      <c r="P7"/>
    </row>
    <row r="8" spans="1:16" x14ac:dyDescent="0.25">
      <c r="A8">
        <v>5</v>
      </c>
      <c r="B8" t="s">
        <v>0</v>
      </c>
      <c r="C8" t="s">
        <v>219</v>
      </c>
      <c r="D8" t="s">
        <v>227</v>
      </c>
      <c r="E8" t="s">
        <v>228</v>
      </c>
      <c r="F8">
        <v>144</v>
      </c>
      <c r="G8" s="4" t="s">
        <v>229</v>
      </c>
      <c r="H8" s="1">
        <v>33670</v>
      </c>
      <c r="I8" t="s">
        <v>270</v>
      </c>
      <c r="J8" t="s">
        <v>311</v>
      </c>
      <c r="K8" t="s">
        <v>14</v>
      </c>
      <c r="L8" s="8">
        <f ca="1">DATEDIF(Table3[[#This Row],[DOB]],TODAY(),"y")</f>
        <v>30</v>
      </c>
      <c r="M8" s="7">
        <f>SUM(LEFT(Table3[[#This Row],[Height]],1), RIGHT(Table3[[#This Row],[Height]], LEN(Table3[[#This Row],[Height]])-2)/12)</f>
        <v>5.416666666666667</v>
      </c>
      <c r="N8" s="7">
        <f>Table3[[#This Row],[HeightFt]]*12</f>
        <v>65</v>
      </c>
      <c r="O8" s="9">
        <f>ROUND(Table3[[#This Row],[Weight]]/(Table3[[#This Row],[HtIn]]*Table3[[#This Row],[HtIn]])*703,0)</f>
        <v>24</v>
      </c>
      <c r="P8"/>
    </row>
    <row r="9" spans="1:16" x14ac:dyDescent="0.25">
      <c r="A9">
        <v>6</v>
      </c>
      <c r="B9" t="s">
        <v>0</v>
      </c>
      <c r="C9" t="s">
        <v>219</v>
      </c>
      <c r="D9" t="s">
        <v>230</v>
      </c>
      <c r="E9" t="s">
        <v>231</v>
      </c>
      <c r="F9">
        <v>159</v>
      </c>
      <c r="G9" s="4" t="s">
        <v>232</v>
      </c>
      <c r="H9" s="1">
        <v>33610</v>
      </c>
      <c r="I9" t="s">
        <v>271</v>
      </c>
      <c r="J9" t="s">
        <v>312</v>
      </c>
      <c r="K9" t="s">
        <v>14</v>
      </c>
      <c r="L9" s="8">
        <f ca="1">DATEDIF(Table3[[#This Row],[DOB]],TODAY(),"y")</f>
        <v>30</v>
      </c>
      <c r="M9" s="7">
        <f>SUM(LEFT(Table3[[#This Row],[Height]],1), RIGHT(Table3[[#This Row],[Height]], LEN(Table3[[#This Row],[Height]])-2)/12)</f>
        <v>5.5</v>
      </c>
      <c r="N9" s="7">
        <f>Table3[[#This Row],[HeightFt]]*12</f>
        <v>66</v>
      </c>
      <c r="O9" s="9">
        <f>ROUND(Table3[[#This Row],[Weight]]/(Table3[[#This Row],[HtIn]]*Table3[[#This Row],[HtIn]])*703,0)</f>
        <v>26</v>
      </c>
      <c r="P9"/>
    </row>
    <row r="10" spans="1:16" x14ac:dyDescent="0.25">
      <c r="A10">
        <v>7</v>
      </c>
      <c r="B10" t="s">
        <v>0</v>
      </c>
      <c r="C10" t="s">
        <v>219</v>
      </c>
      <c r="D10" t="s">
        <v>233</v>
      </c>
      <c r="E10" t="s">
        <v>234</v>
      </c>
      <c r="F10">
        <v>150</v>
      </c>
      <c r="G10" s="4" t="s">
        <v>179</v>
      </c>
      <c r="H10" s="1">
        <v>33121</v>
      </c>
      <c r="I10" t="s">
        <v>272</v>
      </c>
      <c r="J10" t="s">
        <v>313</v>
      </c>
      <c r="K10" t="s">
        <v>14</v>
      </c>
      <c r="L10" s="8">
        <f ca="1">DATEDIF(Table3[[#This Row],[DOB]],TODAY(),"y")</f>
        <v>31</v>
      </c>
      <c r="M10" s="7">
        <f>SUM(LEFT(Table3[[#This Row],[Height]],1), RIGHT(Table3[[#This Row],[Height]], LEN(Table3[[#This Row],[Height]])-2)/12)</f>
        <v>5.666666666666667</v>
      </c>
      <c r="N10" s="7">
        <f>Table3[[#This Row],[HeightFt]]*12</f>
        <v>68</v>
      </c>
      <c r="O10" s="9">
        <f>ROUND(Table3[[#This Row],[Weight]]/(Table3[[#This Row],[HtIn]]*Table3[[#This Row],[HtIn]])*703,0)</f>
        <v>23</v>
      </c>
      <c r="P10"/>
    </row>
    <row r="11" spans="1:16" x14ac:dyDescent="0.25">
      <c r="A11">
        <v>8</v>
      </c>
      <c r="B11" t="s">
        <v>0</v>
      </c>
      <c r="C11" t="s">
        <v>219</v>
      </c>
      <c r="D11" t="s">
        <v>235</v>
      </c>
      <c r="E11" t="s">
        <v>236</v>
      </c>
      <c r="F11">
        <v>156</v>
      </c>
      <c r="G11" s="4" t="s">
        <v>174</v>
      </c>
      <c r="H11" s="1">
        <v>33362</v>
      </c>
      <c r="I11" t="s">
        <v>273</v>
      </c>
      <c r="J11" t="s">
        <v>310</v>
      </c>
      <c r="K11" t="s">
        <v>14</v>
      </c>
      <c r="L11" s="8">
        <f ca="1">DATEDIF(Table3[[#This Row],[DOB]],TODAY(),"y")</f>
        <v>30</v>
      </c>
      <c r="M11" s="7">
        <f>SUM(LEFT(Table3[[#This Row],[Height]],1), RIGHT(Table3[[#This Row],[Height]], LEN(Table3[[#This Row],[Height]])-2)/12)</f>
        <v>5.75</v>
      </c>
      <c r="N11" s="7">
        <f>Table3[[#This Row],[HeightFt]]*12</f>
        <v>69</v>
      </c>
      <c r="O11" s="9">
        <f>ROUND(Table3[[#This Row],[Weight]]/(Table3[[#This Row],[HtIn]]*Table3[[#This Row],[HtIn]])*703,0)</f>
        <v>23</v>
      </c>
      <c r="P11"/>
    </row>
    <row r="12" spans="1:16" x14ac:dyDescent="0.25">
      <c r="A12">
        <v>9</v>
      </c>
      <c r="B12" t="s">
        <v>0</v>
      </c>
      <c r="C12" t="s">
        <v>219</v>
      </c>
      <c r="D12" t="s">
        <v>237</v>
      </c>
      <c r="E12" t="s">
        <v>238</v>
      </c>
      <c r="F12">
        <v>140</v>
      </c>
      <c r="G12" s="4" t="s">
        <v>179</v>
      </c>
      <c r="H12" s="1">
        <v>34703</v>
      </c>
      <c r="I12" t="s">
        <v>274</v>
      </c>
      <c r="J12" t="s">
        <v>310</v>
      </c>
      <c r="K12" t="s">
        <v>14</v>
      </c>
      <c r="L12" s="8">
        <f ca="1">DATEDIF(Table3[[#This Row],[DOB]],TODAY(),"y")</f>
        <v>27</v>
      </c>
      <c r="M12" s="7">
        <f>SUM(LEFT(Table3[[#This Row],[Height]],1), RIGHT(Table3[[#This Row],[Height]], LEN(Table3[[#This Row],[Height]])-2)/12)</f>
        <v>5.666666666666667</v>
      </c>
      <c r="N12" s="7">
        <f>Table3[[#This Row],[HeightFt]]*12</f>
        <v>68</v>
      </c>
      <c r="O12" s="9">
        <f>ROUND(Table3[[#This Row],[Weight]]/(Table3[[#This Row],[HtIn]]*Table3[[#This Row],[HtIn]])*703,0)</f>
        <v>21</v>
      </c>
      <c r="P12"/>
    </row>
    <row r="13" spans="1:16" x14ac:dyDescent="0.25">
      <c r="A13">
        <v>10</v>
      </c>
      <c r="B13" t="s">
        <v>0</v>
      </c>
      <c r="C13" t="s">
        <v>219</v>
      </c>
      <c r="D13" t="s">
        <v>72</v>
      </c>
      <c r="E13" t="s">
        <v>239</v>
      </c>
      <c r="F13">
        <v>170</v>
      </c>
      <c r="G13" s="4" t="s">
        <v>218</v>
      </c>
      <c r="H13" s="1">
        <v>32300</v>
      </c>
      <c r="I13" t="s">
        <v>275</v>
      </c>
      <c r="J13" t="s">
        <v>310</v>
      </c>
      <c r="K13" t="s">
        <v>14</v>
      </c>
      <c r="L13" s="8">
        <f ca="1">DATEDIF(Table3[[#This Row],[DOB]],TODAY(),"y")</f>
        <v>33</v>
      </c>
      <c r="M13" s="7">
        <f>SUM(LEFT(Table3[[#This Row],[Height]],1), RIGHT(Table3[[#This Row],[Height]], LEN(Table3[[#This Row],[Height]])-2)/12)</f>
        <v>5.583333333333333</v>
      </c>
      <c r="N13" s="7">
        <f>Table3[[#This Row],[HeightFt]]*12</f>
        <v>67</v>
      </c>
      <c r="O13" s="9">
        <f>ROUND(Table3[[#This Row],[Weight]]/(Table3[[#This Row],[HtIn]]*Table3[[#This Row],[HtIn]])*703,0)</f>
        <v>27</v>
      </c>
      <c r="P13"/>
    </row>
    <row r="14" spans="1:16" x14ac:dyDescent="0.25">
      <c r="A14">
        <v>11</v>
      </c>
      <c r="B14" t="s">
        <v>0</v>
      </c>
      <c r="C14" t="s">
        <v>219</v>
      </c>
      <c r="D14" t="s">
        <v>240</v>
      </c>
      <c r="E14" t="s">
        <v>241</v>
      </c>
      <c r="F14">
        <v>180</v>
      </c>
      <c r="G14" s="4" t="s">
        <v>209</v>
      </c>
      <c r="H14" s="1">
        <v>33163</v>
      </c>
      <c r="I14" t="s">
        <v>276</v>
      </c>
      <c r="J14" t="s">
        <v>310</v>
      </c>
      <c r="K14" t="s">
        <v>14</v>
      </c>
      <c r="L14" s="8">
        <f ca="1">DATEDIF(Table3[[#This Row],[DOB]],TODAY(),"y")</f>
        <v>31</v>
      </c>
      <c r="M14" s="7">
        <f>SUM(LEFT(Table3[[#This Row],[Height]],1), RIGHT(Table3[[#This Row],[Height]], LEN(Table3[[#This Row],[Height]])-2)/12)</f>
        <v>5.833333333333333</v>
      </c>
      <c r="N14" s="7">
        <f>Table3[[#This Row],[HeightFt]]*12</f>
        <v>70</v>
      </c>
      <c r="O14" s="9">
        <f>ROUND(Table3[[#This Row],[Weight]]/(Table3[[#This Row],[HtIn]]*Table3[[#This Row],[HtIn]])*703,0)</f>
        <v>26</v>
      </c>
      <c r="P14"/>
    </row>
    <row r="15" spans="1:16" x14ac:dyDescent="0.25">
      <c r="A15">
        <v>12</v>
      </c>
      <c r="B15" t="s">
        <v>0</v>
      </c>
      <c r="C15" t="s">
        <v>219</v>
      </c>
      <c r="D15" t="s">
        <v>62</v>
      </c>
      <c r="E15" t="s">
        <v>243</v>
      </c>
      <c r="F15">
        <v>130</v>
      </c>
      <c r="G15" s="4" t="s">
        <v>218</v>
      </c>
      <c r="H15" s="1">
        <v>35031</v>
      </c>
      <c r="I15" t="s">
        <v>277</v>
      </c>
      <c r="J15" t="s">
        <v>314</v>
      </c>
      <c r="K15" t="s">
        <v>14</v>
      </c>
      <c r="L15" s="8">
        <f ca="1">DATEDIF(Table3[[#This Row],[DOB]],TODAY(),"y")</f>
        <v>26</v>
      </c>
      <c r="M15" s="7">
        <f>SUM(LEFT(Table3[[#This Row],[Height]],1), RIGHT(Table3[[#This Row],[Height]], LEN(Table3[[#This Row],[Height]])-2)/12)</f>
        <v>5.583333333333333</v>
      </c>
      <c r="N15" s="7">
        <f>Table3[[#This Row],[HeightFt]]*12</f>
        <v>67</v>
      </c>
      <c r="O15" s="9">
        <f>ROUND(Table3[[#This Row],[Weight]]/(Table3[[#This Row],[HtIn]]*Table3[[#This Row],[HtIn]])*703,0)</f>
        <v>20</v>
      </c>
      <c r="P15"/>
    </row>
    <row r="16" spans="1:16" x14ac:dyDescent="0.25">
      <c r="A16">
        <v>13</v>
      </c>
      <c r="B16" t="s">
        <v>0</v>
      </c>
      <c r="C16" t="s">
        <v>219</v>
      </c>
      <c r="D16" t="s">
        <v>244</v>
      </c>
      <c r="E16" t="s">
        <v>214</v>
      </c>
      <c r="F16">
        <v>160</v>
      </c>
      <c r="G16" s="4" t="s">
        <v>218</v>
      </c>
      <c r="H16" s="1">
        <v>33325</v>
      </c>
      <c r="I16" t="s">
        <v>278</v>
      </c>
      <c r="J16" t="s">
        <v>312</v>
      </c>
      <c r="K16" t="s">
        <v>14</v>
      </c>
      <c r="L16" s="8">
        <f ca="1">DATEDIF(Table3[[#This Row],[DOB]],TODAY(),"y")</f>
        <v>31</v>
      </c>
      <c r="M16" s="7">
        <f>SUM(LEFT(Table3[[#This Row],[Height]],1), RIGHT(Table3[[#This Row],[Height]], LEN(Table3[[#This Row],[Height]])-2)/12)</f>
        <v>5.583333333333333</v>
      </c>
      <c r="N16" s="7">
        <f>Table3[[#This Row],[HeightFt]]*12</f>
        <v>67</v>
      </c>
      <c r="O16" s="9">
        <f>ROUND(Table3[[#This Row],[Weight]]/(Table3[[#This Row],[HtIn]]*Table3[[#This Row],[HtIn]])*703,0)</f>
        <v>25</v>
      </c>
      <c r="P16"/>
    </row>
    <row r="17" spans="1:16" x14ac:dyDescent="0.25">
      <c r="A17">
        <v>14</v>
      </c>
      <c r="B17" t="s">
        <v>0</v>
      </c>
      <c r="C17" t="s">
        <v>219</v>
      </c>
      <c r="D17" t="s">
        <v>246</v>
      </c>
      <c r="E17" t="s">
        <v>247</v>
      </c>
      <c r="F17">
        <v>155</v>
      </c>
      <c r="G17" s="4" t="s">
        <v>218</v>
      </c>
      <c r="H17" s="1">
        <v>34165</v>
      </c>
      <c r="I17" t="s">
        <v>279</v>
      </c>
      <c r="J17" t="s">
        <v>311</v>
      </c>
      <c r="K17" t="s">
        <v>14</v>
      </c>
      <c r="L17" s="8">
        <f ca="1">DATEDIF(Table3[[#This Row],[DOB]],TODAY(),"y")</f>
        <v>28</v>
      </c>
      <c r="M17" s="7">
        <f>SUM(LEFT(Table3[[#This Row],[Height]],1), RIGHT(Table3[[#This Row],[Height]], LEN(Table3[[#This Row],[Height]])-2)/12)</f>
        <v>5.583333333333333</v>
      </c>
      <c r="N17" s="7">
        <f>Table3[[#This Row],[HeightFt]]*12</f>
        <v>67</v>
      </c>
      <c r="O17" s="9">
        <f>ROUND(Table3[[#This Row],[Weight]]/(Table3[[#This Row],[HtIn]]*Table3[[#This Row],[HtIn]])*703,0)</f>
        <v>24</v>
      </c>
      <c r="P17"/>
    </row>
    <row r="18" spans="1:16" x14ac:dyDescent="0.25">
      <c r="A18">
        <v>15</v>
      </c>
      <c r="B18" t="s">
        <v>0</v>
      </c>
      <c r="C18" t="s">
        <v>219</v>
      </c>
      <c r="D18" t="s">
        <v>46</v>
      </c>
      <c r="E18" t="s">
        <v>248</v>
      </c>
      <c r="F18">
        <v>139</v>
      </c>
      <c r="G18" s="4" t="s">
        <v>232</v>
      </c>
      <c r="H18" s="1">
        <v>32282</v>
      </c>
      <c r="I18" t="s">
        <v>280</v>
      </c>
      <c r="J18" t="s">
        <v>313</v>
      </c>
      <c r="K18" t="s">
        <v>315</v>
      </c>
      <c r="L18" s="8">
        <f ca="1">DATEDIF(Table3[[#This Row],[DOB]],TODAY(),"y")</f>
        <v>33</v>
      </c>
      <c r="M18" s="7">
        <f>SUM(LEFT(Table3[[#This Row],[Height]],1), RIGHT(Table3[[#This Row],[Height]], LEN(Table3[[#This Row],[Height]])-2)/12)</f>
        <v>5.5</v>
      </c>
      <c r="N18" s="7">
        <f>Table3[[#This Row],[HeightFt]]*12</f>
        <v>66</v>
      </c>
      <c r="O18" s="9">
        <f>ROUND(Table3[[#This Row],[Weight]]/(Table3[[#This Row],[HtIn]]*Table3[[#This Row],[HtIn]])*703,0)</f>
        <v>22</v>
      </c>
      <c r="P18"/>
    </row>
    <row r="19" spans="1:16" x14ac:dyDescent="0.25">
      <c r="A19">
        <v>16</v>
      </c>
      <c r="B19" t="s">
        <v>0</v>
      </c>
      <c r="C19" t="s">
        <v>219</v>
      </c>
      <c r="D19" t="s">
        <v>249</v>
      </c>
      <c r="E19" t="s">
        <v>250</v>
      </c>
      <c r="F19">
        <v>180</v>
      </c>
      <c r="G19" s="4" t="s">
        <v>232</v>
      </c>
      <c r="H19" s="1">
        <v>33888</v>
      </c>
      <c r="I19" t="s">
        <v>281</v>
      </c>
      <c r="J19" t="s">
        <v>313</v>
      </c>
      <c r="K19" t="s">
        <v>315</v>
      </c>
      <c r="L19" s="8">
        <f ca="1">DATEDIF(Table3[[#This Row],[DOB]],TODAY(),"y")</f>
        <v>29</v>
      </c>
      <c r="M19" s="7">
        <f>SUM(LEFT(Table3[[#This Row],[Height]],1), RIGHT(Table3[[#This Row],[Height]], LEN(Table3[[#This Row],[Height]])-2)/12)</f>
        <v>5.5</v>
      </c>
      <c r="N19" s="7">
        <f>Table3[[#This Row],[HeightFt]]*12</f>
        <v>66</v>
      </c>
      <c r="O19" s="9">
        <f>ROUND(Table3[[#This Row],[Weight]]/(Table3[[#This Row],[HtIn]]*Table3[[#This Row],[HtIn]])*703,0)</f>
        <v>29</v>
      </c>
      <c r="P19"/>
    </row>
    <row r="20" spans="1:16" x14ac:dyDescent="0.25">
      <c r="A20">
        <v>17</v>
      </c>
      <c r="B20" t="s">
        <v>0</v>
      </c>
      <c r="C20" t="s">
        <v>219</v>
      </c>
      <c r="D20" t="s">
        <v>251</v>
      </c>
      <c r="E20" t="s">
        <v>252</v>
      </c>
      <c r="F20">
        <v>167</v>
      </c>
      <c r="G20" s="4" t="s">
        <v>179</v>
      </c>
      <c r="H20" s="1">
        <v>32975</v>
      </c>
      <c r="I20" t="s">
        <v>282</v>
      </c>
      <c r="J20" t="s">
        <v>312</v>
      </c>
      <c r="K20" t="s">
        <v>315</v>
      </c>
      <c r="L20" s="8">
        <f ca="1">DATEDIF(Table3[[#This Row],[DOB]],TODAY(),"y")</f>
        <v>31</v>
      </c>
      <c r="M20" s="7">
        <f>SUM(LEFT(Table3[[#This Row],[Height]],1), RIGHT(Table3[[#This Row],[Height]], LEN(Table3[[#This Row],[Height]])-2)/12)</f>
        <v>5.666666666666667</v>
      </c>
      <c r="N20" s="7">
        <f>Table3[[#This Row],[HeightFt]]*12</f>
        <v>68</v>
      </c>
      <c r="O20" s="9">
        <f>ROUND(Table3[[#This Row],[Weight]]/(Table3[[#This Row],[HtIn]]*Table3[[#This Row],[HtIn]])*703,0)</f>
        <v>25</v>
      </c>
      <c r="P20"/>
    </row>
    <row r="21" spans="1:16" x14ac:dyDescent="0.25">
      <c r="A21">
        <v>18</v>
      </c>
      <c r="B21" t="s">
        <v>0</v>
      </c>
      <c r="C21" t="s">
        <v>219</v>
      </c>
      <c r="D21" t="s">
        <v>223</v>
      </c>
      <c r="E21" t="s">
        <v>253</v>
      </c>
      <c r="F21">
        <v>137</v>
      </c>
      <c r="G21" s="4" t="s">
        <v>254</v>
      </c>
      <c r="H21" s="1">
        <v>33268</v>
      </c>
      <c r="I21" t="s">
        <v>274</v>
      </c>
      <c r="J21" t="s">
        <v>310</v>
      </c>
      <c r="K21" t="s">
        <v>315</v>
      </c>
      <c r="L21" s="8">
        <f ca="1">DATEDIF(Table3[[#This Row],[DOB]],TODAY(),"y")</f>
        <v>31</v>
      </c>
      <c r="M21" s="7">
        <f>SUM(LEFT(Table3[[#This Row],[Height]],1), RIGHT(Table3[[#This Row],[Height]], LEN(Table3[[#This Row],[Height]])-2)/12)</f>
        <v>5.333333333333333</v>
      </c>
      <c r="N21" s="7">
        <f>Table3[[#This Row],[HeightFt]]*12</f>
        <v>64</v>
      </c>
      <c r="O21" s="9">
        <f>ROUND(Table3[[#This Row],[Weight]]/(Table3[[#This Row],[HtIn]]*Table3[[#This Row],[HtIn]])*703,0)</f>
        <v>24</v>
      </c>
      <c r="P21"/>
    </row>
    <row r="22" spans="1:16" x14ac:dyDescent="0.25">
      <c r="A22">
        <v>19</v>
      </c>
      <c r="B22" t="s">
        <v>0</v>
      </c>
      <c r="C22" t="s">
        <v>219</v>
      </c>
      <c r="D22" t="s">
        <v>255</v>
      </c>
      <c r="E22" t="s">
        <v>256</v>
      </c>
      <c r="F22">
        <v>139</v>
      </c>
      <c r="G22" s="4" t="s">
        <v>174</v>
      </c>
      <c r="H22" s="1">
        <v>31051</v>
      </c>
      <c r="I22" t="s">
        <v>283</v>
      </c>
      <c r="J22" t="s">
        <v>316</v>
      </c>
      <c r="K22" t="s">
        <v>315</v>
      </c>
      <c r="L22" s="8">
        <f ca="1">DATEDIF(Table3[[#This Row],[DOB]],TODAY(),"y")</f>
        <v>37</v>
      </c>
      <c r="M22" s="7">
        <f>SUM(LEFT(Table3[[#This Row],[Height]],1), RIGHT(Table3[[#This Row],[Height]], LEN(Table3[[#This Row],[Height]])-2)/12)</f>
        <v>5.75</v>
      </c>
      <c r="N22" s="7">
        <f>Table3[[#This Row],[HeightFt]]*12</f>
        <v>69</v>
      </c>
      <c r="O22" s="9">
        <f>ROUND(Table3[[#This Row],[Weight]]/(Table3[[#This Row],[HtIn]]*Table3[[#This Row],[HtIn]])*703,0)</f>
        <v>21</v>
      </c>
      <c r="P22"/>
    </row>
    <row r="23" spans="1:16" x14ac:dyDescent="0.25">
      <c r="A23">
        <v>20</v>
      </c>
      <c r="B23" t="s">
        <v>0</v>
      </c>
      <c r="C23" t="s">
        <v>219</v>
      </c>
      <c r="D23" t="s">
        <v>257</v>
      </c>
      <c r="E23" t="s">
        <v>258</v>
      </c>
      <c r="F23">
        <v>144</v>
      </c>
      <c r="G23" s="4" t="s">
        <v>232</v>
      </c>
      <c r="H23" s="1">
        <v>34613</v>
      </c>
      <c r="I23" t="s">
        <v>30</v>
      </c>
      <c r="J23" t="s">
        <v>310</v>
      </c>
      <c r="K23" t="s">
        <v>315</v>
      </c>
      <c r="L23" s="8">
        <f ca="1">DATEDIF(Table3[[#This Row],[DOB]],TODAY(),"y")</f>
        <v>27</v>
      </c>
      <c r="M23" s="7">
        <f>SUM(LEFT(Table3[[#This Row],[Height]],1), RIGHT(Table3[[#This Row],[Height]], LEN(Table3[[#This Row],[Height]])-2)/12)</f>
        <v>5.5</v>
      </c>
      <c r="N23" s="7">
        <f>Table3[[#This Row],[HeightFt]]*12</f>
        <v>66</v>
      </c>
      <c r="O23" s="9">
        <f>ROUND(Table3[[#This Row],[Weight]]/(Table3[[#This Row],[HtIn]]*Table3[[#This Row],[HtIn]])*703,0)</f>
        <v>23</v>
      </c>
      <c r="P23"/>
    </row>
    <row r="24" spans="1:16" x14ac:dyDescent="0.25">
      <c r="A24">
        <v>21</v>
      </c>
      <c r="B24" t="s">
        <v>0</v>
      </c>
      <c r="C24" t="s">
        <v>219</v>
      </c>
      <c r="D24" t="s">
        <v>259</v>
      </c>
      <c r="E24" t="s">
        <v>260</v>
      </c>
      <c r="F24">
        <v>146</v>
      </c>
      <c r="G24" s="4" t="s">
        <v>179</v>
      </c>
      <c r="H24" s="1">
        <v>31630</v>
      </c>
      <c r="I24" t="s">
        <v>284</v>
      </c>
      <c r="J24" t="s">
        <v>316</v>
      </c>
      <c r="K24" t="s">
        <v>35</v>
      </c>
      <c r="L24" s="8">
        <f ca="1">DATEDIF(Table3[[#This Row],[DOB]],TODAY(),"y")</f>
        <v>35</v>
      </c>
      <c r="M24" s="7">
        <f>SUM(LEFT(Table3[[#This Row],[Height]],1), RIGHT(Table3[[#This Row],[Height]], LEN(Table3[[#This Row],[Height]])-2)/12)</f>
        <v>5.666666666666667</v>
      </c>
      <c r="N24" s="7">
        <f>Table3[[#This Row],[HeightFt]]*12</f>
        <v>68</v>
      </c>
      <c r="O24" s="9">
        <f>ROUND(Table3[[#This Row],[Weight]]/(Table3[[#This Row],[HtIn]]*Table3[[#This Row],[HtIn]])*703,0)</f>
        <v>22</v>
      </c>
      <c r="P24"/>
    </row>
    <row r="25" spans="1:16" x14ac:dyDescent="0.25">
      <c r="A25">
        <v>22</v>
      </c>
      <c r="B25" t="s">
        <v>0</v>
      </c>
      <c r="C25" t="s">
        <v>219</v>
      </c>
      <c r="D25" t="s">
        <v>261</v>
      </c>
      <c r="E25" t="s">
        <v>262</v>
      </c>
      <c r="F25">
        <v>136</v>
      </c>
      <c r="G25" s="4" t="s">
        <v>179</v>
      </c>
      <c r="H25" s="1">
        <v>32633</v>
      </c>
      <c r="I25" t="s">
        <v>285</v>
      </c>
      <c r="J25" t="s">
        <v>310</v>
      </c>
      <c r="K25" t="s">
        <v>35</v>
      </c>
      <c r="L25" s="8">
        <f ca="1">DATEDIF(Table3[[#This Row],[DOB]],TODAY(),"y")</f>
        <v>32</v>
      </c>
      <c r="M25" s="7">
        <f>SUM(LEFT(Table3[[#This Row],[Height]],1), RIGHT(Table3[[#This Row],[Height]], LEN(Table3[[#This Row],[Height]])-2)/12)</f>
        <v>5.666666666666667</v>
      </c>
      <c r="N25" s="7">
        <f>Table3[[#This Row],[HeightFt]]*12</f>
        <v>68</v>
      </c>
      <c r="O25" s="9">
        <f>ROUND(Table3[[#This Row],[Weight]]/(Table3[[#This Row],[HtIn]]*Table3[[#This Row],[HtIn]])*703,0)</f>
        <v>21</v>
      </c>
      <c r="P25"/>
    </row>
    <row r="26" spans="1:16" x14ac:dyDescent="0.25">
      <c r="A26">
        <v>23</v>
      </c>
      <c r="B26" t="s">
        <v>0</v>
      </c>
      <c r="C26" t="s">
        <v>219</v>
      </c>
      <c r="D26" t="s">
        <v>263</v>
      </c>
      <c r="E26" t="s">
        <v>264</v>
      </c>
      <c r="F26">
        <v>160</v>
      </c>
      <c r="G26" s="4" t="s">
        <v>174</v>
      </c>
      <c r="H26" s="1">
        <v>34434</v>
      </c>
      <c r="I26" t="s">
        <v>286</v>
      </c>
      <c r="J26" t="s">
        <v>312</v>
      </c>
      <c r="K26" t="s">
        <v>35</v>
      </c>
      <c r="L26" s="8">
        <f ca="1">DATEDIF(Table3[[#This Row],[DOB]],TODAY(),"y")</f>
        <v>27</v>
      </c>
      <c r="M26" s="7">
        <f>SUM(LEFT(Table3[[#This Row],[Height]],1), RIGHT(Table3[[#This Row],[Height]], LEN(Table3[[#This Row],[Height]])-2)/12)</f>
        <v>5.75</v>
      </c>
      <c r="N26" s="7">
        <f>Table3[[#This Row],[HeightFt]]*12</f>
        <v>69</v>
      </c>
      <c r="O26" s="9">
        <f>ROUND(Table3[[#This Row],[Weight]]/(Table3[[#This Row],[HtIn]]*Table3[[#This Row],[HtIn]])*703,0)</f>
        <v>24</v>
      </c>
      <c r="P26"/>
    </row>
    <row r="27" spans="1:16" x14ac:dyDescent="0.25">
      <c r="A27">
        <v>24</v>
      </c>
      <c r="B27" t="s">
        <v>1</v>
      </c>
      <c r="C27" t="s">
        <v>219</v>
      </c>
      <c r="D27" t="s">
        <v>166</v>
      </c>
      <c r="E27" t="s">
        <v>167</v>
      </c>
      <c r="F27">
        <v>190</v>
      </c>
      <c r="G27" s="4" t="s">
        <v>168</v>
      </c>
      <c r="H27" s="1">
        <v>31778</v>
      </c>
      <c r="I27" t="s">
        <v>287</v>
      </c>
      <c r="J27" t="s">
        <v>317</v>
      </c>
      <c r="K27" t="s">
        <v>14</v>
      </c>
      <c r="L27" s="8">
        <f ca="1">DATEDIF(Table3[[#This Row],[DOB]],TODAY(),"y")</f>
        <v>35</v>
      </c>
      <c r="M27" s="7">
        <f>SUM(LEFT(Table3[[#This Row],[Height]],1), RIGHT(Table3[[#This Row],[Height]], LEN(Table3[[#This Row],[Height]])-2)/12)</f>
        <v>5.916666666666667</v>
      </c>
      <c r="N27" s="7">
        <f>Table3[[#This Row],[HeightFt]]*12</f>
        <v>71</v>
      </c>
      <c r="O27" s="9">
        <f>ROUND(Table3[[#This Row],[Weight]]/(Table3[[#This Row],[HtIn]]*Table3[[#This Row],[HtIn]])*703,0)</f>
        <v>26</v>
      </c>
      <c r="P27"/>
    </row>
    <row r="28" spans="1:16" x14ac:dyDescent="0.25">
      <c r="A28">
        <v>25</v>
      </c>
      <c r="B28" t="s">
        <v>1</v>
      </c>
      <c r="C28" t="s">
        <v>219</v>
      </c>
      <c r="D28" t="s">
        <v>169</v>
      </c>
      <c r="E28" t="s">
        <v>170</v>
      </c>
      <c r="F28">
        <v>220</v>
      </c>
      <c r="G28" s="4" t="s">
        <v>171</v>
      </c>
      <c r="H28" s="1">
        <v>31467</v>
      </c>
      <c r="I28" t="s">
        <v>242</v>
      </c>
      <c r="J28" t="s">
        <v>310</v>
      </c>
      <c r="K28" t="s">
        <v>14</v>
      </c>
      <c r="L28" s="8">
        <f ca="1">DATEDIF(Table3[[#This Row],[DOB]],TODAY(),"y")</f>
        <v>36</v>
      </c>
      <c r="M28" s="7">
        <f>SUM(LEFT(Table3[[#This Row],[Height]],1), RIGHT(Table3[[#This Row],[Height]], LEN(Table3[[#This Row],[Height]])-2)/12)</f>
        <v>6.25</v>
      </c>
      <c r="N28" s="7">
        <f>Table3[[#This Row],[HeightFt]]*12</f>
        <v>75</v>
      </c>
      <c r="O28" s="9">
        <f>ROUND(Table3[[#This Row],[Weight]]/(Table3[[#This Row],[HtIn]]*Table3[[#This Row],[HtIn]])*703,0)</f>
        <v>27</v>
      </c>
      <c r="P28"/>
    </row>
    <row r="29" spans="1:16" x14ac:dyDescent="0.25">
      <c r="A29">
        <v>26</v>
      </c>
      <c r="B29" t="s">
        <v>1</v>
      </c>
      <c r="C29" t="s">
        <v>219</v>
      </c>
      <c r="D29" t="s">
        <v>172</v>
      </c>
      <c r="E29" t="s">
        <v>173</v>
      </c>
      <c r="F29">
        <v>187</v>
      </c>
      <c r="G29" s="4" t="s">
        <v>174</v>
      </c>
      <c r="H29" s="1">
        <v>30440</v>
      </c>
      <c r="I29" t="s">
        <v>288</v>
      </c>
      <c r="J29" t="s">
        <v>310</v>
      </c>
      <c r="K29" t="s">
        <v>14</v>
      </c>
      <c r="L29" s="8">
        <f ca="1">DATEDIF(Table3[[#This Row],[DOB]],TODAY(),"y")</f>
        <v>38</v>
      </c>
      <c r="M29" s="7">
        <f>SUM(LEFT(Table3[[#This Row],[Height]],1), RIGHT(Table3[[#This Row],[Height]], LEN(Table3[[#This Row],[Height]])-2)/12)</f>
        <v>5.75</v>
      </c>
      <c r="N29" s="7">
        <f>Table3[[#This Row],[HeightFt]]*12</f>
        <v>69</v>
      </c>
      <c r="O29" s="9">
        <f>ROUND(Table3[[#This Row],[Weight]]/(Table3[[#This Row],[HtIn]]*Table3[[#This Row],[HtIn]])*703,0)</f>
        <v>28</v>
      </c>
      <c r="P29"/>
    </row>
    <row r="30" spans="1:16" x14ac:dyDescent="0.25">
      <c r="A30">
        <v>27</v>
      </c>
      <c r="B30" t="s">
        <v>1</v>
      </c>
      <c r="C30" t="s">
        <v>219</v>
      </c>
      <c r="D30" t="s">
        <v>91</v>
      </c>
      <c r="E30" t="s">
        <v>57</v>
      </c>
      <c r="F30">
        <v>194</v>
      </c>
      <c r="G30" s="4" t="s">
        <v>175</v>
      </c>
      <c r="H30" s="1">
        <v>29536</v>
      </c>
      <c r="I30" t="s">
        <v>242</v>
      </c>
      <c r="J30" t="s">
        <v>310</v>
      </c>
      <c r="K30" t="s">
        <v>14</v>
      </c>
      <c r="L30" s="8">
        <f ca="1">DATEDIF(Table3[[#This Row],[DOB]],TODAY(),"y")</f>
        <v>41</v>
      </c>
      <c r="M30" s="7">
        <f>SUM(LEFT(Table3[[#This Row],[Height]],1), RIGHT(Table3[[#This Row],[Height]], LEN(Table3[[#This Row],[Height]])-2)/12)</f>
        <v>6</v>
      </c>
      <c r="N30" s="7">
        <f>Table3[[#This Row],[HeightFt]]*12</f>
        <v>72</v>
      </c>
      <c r="O30" s="9">
        <f>ROUND(Table3[[#This Row],[Weight]]/(Table3[[#This Row],[HtIn]]*Table3[[#This Row],[HtIn]])*703,0)</f>
        <v>26</v>
      </c>
      <c r="P30"/>
    </row>
    <row r="31" spans="1:16" x14ac:dyDescent="0.25">
      <c r="A31">
        <v>28</v>
      </c>
      <c r="B31" t="s">
        <v>1</v>
      </c>
      <c r="C31" t="s">
        <v>219</v>
      </c>
      <c r="D31" t="s">
        <v>176</v>
      </c>
      <c r="E31" t="s">
        <v>177</v>
      </c>
      <c r="F31">
        <v>214</v>
      </c>
      <c r="G31" s="4" t="s">
        <v>171</v>
      </c>
      <c r="H31" s="1">
        <v>31636</v>
      </c>
      <c r="I31" t="s">
        <v>289</v>
      </c>
      <c r="J31" t="s">
        <v>316</v>
      </c>
      <c r="K31" t="s">
        <v>14</v>
      </c>
      <c r="L31" s="8">
        <f ca="1">DATEDIF(Table3[[#This Row],[DOB]],TODAY(),"y")</f>
        <v>35</v>
      </c>
      <c r="M31" s="7">
        <f>SUM(LEFT(Table3[[#This Row],[Height]],1), RIGHT(Table3[[#This Row],[Height]], LEN(Table3[[#This Row],[Height]])-2)/12)</f>
        <v>6.25</v>
      </c>
      <c r="N31" s="7">
        <f>Table3[[#This Row],[HeightFt]]*12</f>
        <v>75</v>
      </c>
      <c r="O31" s="9">
        <f>ROUND(Table3[[#This Row],[Weight]]/(Table3[[#This Row],[HtIn]]*Table3[[#This Row],[HtIn]])*703,0)</f>
        <v>27</v>
      </c>
      <c r="P31"/>
    </row>
    <row r="32" spans="1:16" x14ac:dyDescent="0.25">
      <c r="A32">
        <v>29</v>
      </c>
      <c r="B32" t="s">
        <v>1</v>
      </c>
      <c r="C32" t="s">
        <v>219</v>
      </c>
      <c r="D32" t="s">
        <v>119</v>
      </c>
      <c r="E32" t="s">
        <v>178</v>
      </c>
      <c r="F32">
        <v>170</v>
      </c>
      <c r="G32" s="4" t="s">
        <v>179</v>
      </c>
      <c r="H32" s="1">
        <v>32940</v>
      </c>
      <c r="I32" t="s">
        <v>222</v>
      </c>
      <c r="J32" t="s">
        <v>316</v>
      </c>
      <c r="K32" t="s">
        <v>14</v>
      </c>
      <c r="L32" s="8">
        <f ca="1">DATEDIF(Table3[[#This Row],[DOB]],TODAY(),"y")</f>
        <v>32</v>
      </c>
      <c r="M32" s="7">
        <f>SUM(LEFT(Table3[[#This Row],[Height]],1), RIGHT(Table3[[#This Row],[Height]], LEN(Table3[[#This Row],[Height]])-2)/12)</f>
        <v>5.666666666666667</v>
      </c>
      <c r="N32" s="7">
        <f>Table3[[#This Row],[HeightFt]]*12</f>
        <v>68</v>
      </c>
      <c r="O32" s="9">
        <f>ROUND(Table3[[#This Row],[Weight]]/(Table3[[#This Row],[HtIn]]*Table3[[#This Row],[HtIn]])*703,0)</f>
        <v>26</v>
      </c>
      <c r="P32"/>
    </row>
    <row r="33" spans="1:16" x14ac:dyDescent="0.25">
      <c r="A33">
        <v>30</v>
      </c>
      <c r="B33" t="s">
        <v>1</v>
      </c>
      <c r="C33" t="s">
        <v>219</v>
      </c>
      <c r="D33" t="s">
        <v>180</v>
      </c>
      <c r="E33" t="s">
        <v>181</v>
      </c>
      <c r="F33">
        <v>190</v>
      </c>
      <c r="G33" s="4" t="s">
        <v>182</v>
      </c>
      <c r="H33" s="1">
        <v>33624</v>
      </c>
      <c r="I33" t="s">
        <v>290</v>
      </c>
      <c r="J33" t="s">
        <v>313</v>
      </c>
      <c r="K33" t="s">
        <v>14</v>
      </c>
      <c r="L33" s="8">
        <f ca="1">DATEDIF(Table3[[#This Row],[DOB]],TODAY(),"y")</f>
        <v>30</v>
      </c>
      <c r="M33" s="7">
        <f>SUM(LEFT(Table3[[#This Row],[Height]],1), RIGHT(Table3[[#This Row],[Height]], LEN(Table3[[#This Row],[Height]])-2)/12)</f>
        <v>6.166666666666667</v>
      </c>
      <c r="N33" s="7">
        <f>Table3[[#This Row],[HeightFt]]*12</f>
        <v>74</v>
      </c>
      <c r="O33" s="9">
        <f>ROUND(Table3[[#This Row],[Weight]]/(Table3[[#This Row],[HtIn]]*Table3[[#This Row],[HtIn]])*703,0)</f>
        <v>24</v>
      </c>
      <c r="P33"/>
    </row>
    <row r="34" spans="1:16" x14ac:dyDescent="0.25">
      <c r="A34">
        <v>31</v>
      </c>
      <c r="B34" t="s">
        <v>1</v>
      </c>
      <c r="C34" t="s">
        <v>219</v>
      </c>
      <c r="D34" t="s">
        <v>183</v>
      </c>
      <c r="E34" t="s">
        <v>92</v>
      </c>
      <c r="F34">
        <v>216</v>
      </c>
      <c r="G34" s="4" t="s">
        <v>182</v>
      </c>
      <c r="H34" s="1">
        <v>29930</v>
      </c>
      <c r="I34" t="s">
        <v>291</v>
      </c>
      <c r="J34" t="s">
        <v>316</v>
      </c>
      <c r="K34" t="s">
        <v>14</v>
      </c>
      <c r="L34" s="8">
        <f ca="1">DATEDIF(Table3[[#This Row],[DOB]],TODAY(),"y")</f>
        <v>40</v>
      </c>
      <c r="M34" s="7">
        <f>SUM(LEFT(Table3[[#This Row],[Height]],1), RIGHT(Table3[[#This Row],[Height]], LEN(Table3[[#This Row],[Height]])-2)/12)</f>
        <v>6.166666666666667</v>
      </c>
      <c r="N34" s="7">
        <f>Table3[[#This Row],[HeightFt]]*12</f>
        <v>74</v>
      </c>
      <c r="O34" s="9">
        <f>ROUND(Table3[[#This Row],[Weight]]/(Table3[[#This Row],[HtIn]]*Table3[[#This Row],[HtIn]])*703,0)</f>
        <v>28</v>
      </c>
      <c r="P34"/>
    </row>
    <row r="35" spans="1:16" x14ac:dyDescent="0.25">
      <c r="A35">
        <v>32</v>
      </c>
      <c r="B35" t="s">
        <v>1</v>
      </c>
      <c r="C35" t="s">
        <v>219</v>
      </c>
      <c r="D35" t="s">
        <v>184</v>
      </c>
      <c r="E35" t="s">
        <v>185</v>
      </c>
      <c r="F35">
        <v>176</v>
      </c>
      <c r="G35" s="4" t="s">
        <v>174</v>
      </c>
      <c r="H35" s="1">
        <v>30318</v>
      </c>
      <c r="I35" t="s">
        <v>292</v>
      </c>
      <c r="J35" t="s">
        <v>317</v>
      </c>
      <c r="K35" t="s">
        <v>14</v>
      </c>
      <c r="L35" s="8">
        <f ca="1">DATEDIF(Table3[[#This Row],[DOB]],TODAY(),"y")</f>
        <v>39</v>
      </c>
      <c r="M35" s="7">
        <f>SUM(LEFT(Table3[[#This Row],[Height]],1), RIGHT(Table3[[#This Row],[Height]], LEN(Table3[[#This Row],[Height]])-2)/12)</f>
        <v>5.75</v>
      </c>
      <c r="N35" s="7">
        <f>Table3[[#This Row],[HeightFt]]*12</f>
        <v>69</v>
      </c>
      <c r="O35" s="9">
        <f>ROUND(Table3[[#This Row],[Weight]]/(Table3[[#This Row],[HtIn]]*Table3[[#This Row],[HtIn]])*703,0)</f>
        <v>26</v>
      </c>
      <c r="P35"/>
    </row>
    <row r="36" spans="1:16" x14ac:dyDescent="0.25">
      <c r="A36">
        <v>33</v>
      </c>
      <c r="B36" t="s">
        <v>1</v>
      </c>
      <c r="C36" t="s">
        <v>219</v>
      </c>
      <c r="D36" t="s">
        <v>186</v>
      </c>
      <c r="E36" t="s">
        <v>187</v>
      </c>
      <c r="F36">
        <v>179</v>
      </c>
      <c r="G36" s="4" t="s">
        <v>188</v>
      </c>
      <c r="H36" s="1">
        <v>31307</v>
      </c>
      <c r="I36" t="s">
        <v>293</v>
      </c>
      <c r="J36" t="s">
        <v>316</v>
      </c>
      <c r="K36" t="s">
        <v>14</v>
      </c>
      <c r="L36" s="8">
        <f ca="1">DATEDIF(Table3[[#This Row],[DOB]],TODAY(),"y")</f>
        <v>36</v>
      </c>
      <c r="M36" s="7">
        <f>SUM(LEFT(Table3[[#This Row],[Height]],1), RIGHT(Table3[[#This Row],[Height]], LEN(Table3[[#This Row],[Height]])-2)/12)</f>
        <v>6.083333333333333</v>
      </c>
      <c r="N36" s="7">
        <f>Table3[[#This Row],[HeightFt]]*12</f>
        <v>73</v>
      </c>
      <c r="O36" s="9">
        <f>ROUND(Table3[[#This Row],[Weight]]/(Table3[[#This Row],[HtIn]]*Table3[[#This Row],[HtIn]])*703,0)</f>
        <v>24</v>
      </c>
      <c r="P36"/>
    </row>
    <row r="37" spans="1:16" x14ac:dyDescent="0.25">
      <c r="A37">
        <v>34</v>
      </c>
      <c r="B37" t="s">
        <v>1</v>
      </c>
      <c r="C37" t="s">
        <v>219</v>
      </c>
      <c r="D37" t="s">
        <v>189</v>
      </c>
      <c r="E37" t="s">
        <v>190</v>
      </c>
      <c r="F37">
        <v>201</v>
      </c>
      <c r="G37" s="4" t="s">
        <v>188</v>
      </c>
      <c r="H37" s="1">
        <v>33045</v>
      </c>
      <c r="I37" t="s">
        <v>294</v>
      </c>
      <c r="J37" t="s">
        <v>310</v>
      </c>
      <c r="K37" t="s">
        <v>14</v>
      </c>
      <c r="L37" s="8">
        <f ca="1">DATEDIF(Table3[[#This Row],[DOB]],TODAY(),"y")</f>
        <v>31</v>
      </c>
      <c r="M37" s="7">
        <f>SUM(LEFT(Table3[[#This Row],[Height]],1), RIGHT(Table3[[#This Row],[Height]], LEN(Table3[[#This Row],[Height]])-2)/12)</f>
        <v>6.083333333333333</v>
      </c>
      <c r="N37" s="7">
        <f>Table3[[#This Row],[HeightFt]]*12</f>
        <v>73</v>
      </c>
      <c r="O37" s="9">
        <f>ROUND(Table3[[#This Row],[Weight]]/(Table3[[#This Row],[HtIn]]*Table3[[#This Row],[HtIn]])*703,0)</f>
        <v>27</v>
      </c>
      <c r="P37"/>
    </row>
    <row r="38" spans="1:16" x14ac:dyDescent="0.25">
      <c r="A38">
        <v>35</v>
      </c>
      <c r="B38" t="s">
        <v>1</v>
      </c>
      <c r="C38" t="s">
        <v>219</v>
      </c>
      <c r="D38" t="s">
        <v>191</v>
      </c>
      <c r="E38" t="s">
        <v>192</v>
      </c>
      <c r="F38">
        <v>216</v>
      </c>
      <c r="G38" s="4" t="s">
        <v>175</v>
      </c>
      <c r="H38" s="1">
        <v>31135</v>
      </c>
      <c r="I38" t="s">
        <v>295</v>
      </c>
      <c r="J38" t="s">
        <v>312</v>
      </c>
      <c r="K38" t="s">
        <v>14</v>
      </c>
      <c r="L38" s="8">
        <f ca="1">DATEDIF(Table3[[#This Row],[DOB]],TODAY(),"y")</f>
        <v>36</v>
      </c>
      <c r="M38" s="7">
        <f>SUM(LEFT(Table3[[#This Row],[Height]],1), RIGHT(Table3[[#This Row],[Height]], LEN(Table3[[#This Row],[Height]])-2)/12)</f>
        <v>6</v>
      </c>
      <c r="N38" s="7">
        <f>Table3[[#This Row],[HeightFt]]*12</f>
        <v>72</v>
      </c>
      <c r="O38" s="9">
        <f>ROUND(Table3[[#This Row],[Weight]]/(Table3[[#This Row],[HtIn]]*Table3[[#This Row],[HtIn]])*703,0)</f>
        <v>29</v>
      </c>
      <c r="P38"/>
    </row>
    <row r="39" spans="1:16" x14ac:dyDescent="0.25">
      <c r="A39">
        <v>36</v>
      </c>
      <c r="B39" t="s">
        <v>1</v>
      </c>
      <c r="C39" t="s">
        <v>219</v>
      </c>
      <c r="D39" t="s">
        <v>193</v>
      </c>
      <c r="E39" t="s">
        <v>194</v>
      </c>
      <c r="F39">
        <v>190</v>
      </c>
      <c r="G39" s="4" t="s">
        <v>175</v>
      </c>
      <c r="H39" s="1">
        <v>33436</v>
      </c>
      <c r="I39" t="s">
        <v>296</v>
      </c>
      <c r="J39" t="s">
        <v>314</v>
      </c>
      <c r="K39" t="s">
        <v>14</v>
      </c>
      <c r="L39" s="8">
        <f ca="1">DATEDIF(Table3[[#This Row],[DOB]],TODAY(),"y")</f>
        <v>30</v>
      </c>
      <c r="M39" s="7">
        <f>SUM(LEFT(Table3[[#This Row],[Height]],1), RIGHT(Table3[[#This Row],[Height]], LEN(Table3[[#This Row],[Height]])-2)/12)</f>
        <v>6</v>
      </c>
      <c r="N39" s="7">
        <f>Table3[[#This Row],[HeightFt]]*12</f>
        <v>72</v>
      </c>
      <c r="O39" s="9">
        <f>ROUND(Table3[[#This Row],[Weight]]/(Table3[[#This Row],[HtIn]]*Table3[[#This Row],[HtIn]])*703,0)</f>
        <v>26</v>
      </c>
      <c r="P39"/>
    </row>
    <row r="40" spans="1:16" x14ac:dyDescent="0.25">
      <c r="A40">
        <v>37</v>
      </c>
      <c r="B40" t="s">
        <v>1</v>
      </c>
      <c r="C40" t="s">
        <v>219</v>
      </c>
      <c r="D40" t="s">
        <v>195</v>
      </c>
      <c r="E40" t="s">
        <v>196</v>
      </c>
      <c r="F40">
        <v>174</v>
      </c>
      <c r="G40" s="4" t="s">
        <v>174</v>
      </c>
      <c r="H40" s="1">
        <v>33750</v>
      </c>
      <c r="I40" t="s">
        <v>242</v>
      </c>
      <c r="J40" t="s">
        <v>310</v>
      </c>
      <c r="K40" t="s">
        <v>14</v>
      </c>
      <c r="L40" s="8">
        <f ca="1">DATEDIF(Table3[[#This Row],[DOB]],TODAY(),"y")</f>
        <v>29</v>
      </c>
      <c r="M40" s="7">
        <f>SUM(LEFT(Table3[[#This Row],[Height]],1), RIGHT(Table3[[#This Row],[Height]], LEN(Table3[[#This Row],[Height]])-2)/12)</f>
        <v>5.75</v>
      </c>
      <c r="N40" s="7">
        <f>Table3[[#This Row],[HeightFt]]*12</f>
        <v>69</v>
      </c>
      <c r="O40" s="9">
        <f>ROUND(Table3[[#This Row],[Weight]]/(Table3[[#This Row],[HtIn]]*Table3[[#This Row],[HtIn]])*703,0)</f>
        <v>26</v>
      </c>
      <c r="P40"/>
    </row>
    <row r="41" spans="1:16" x14ac:dyDescent="0.25">
      <c r="A41">
        <v>38</v>
      </c>
      <c r="B41" t="s">
        <v>1</v>
      </c>
      <c r="C41" t="s">
        <v>219</v>
      </c>
      <c r="D41" t="s">
        <v>197</v>
      </c>
      <c r="E41" t="s">
        <v>198</v>
      </c>
      <c r="F41">
        <v>181</v>
      </c>
      <c r="G41" s="4" t="s">
        <v>168</v>
      </c>
      <c r="H41" s="1">
        <v>32102</v>
      </c>
      <c r="I41" t="s">
        <v>297</v>
      </c>
      <c r="J41" t="s">
        <v>316</v>
      </c>
      <c r="K41" t="s">
        <v>315</v>
      </c>
      <c r="L41" s="8">
        <f ca="1">DATEDIF(Table3[[#This Row],[DOB]],TODAY(),"y")</f>
        <v>34</v>
      </c>
      <c r="M41" s="7">
        <f>SUM(LEFT(Table3[[#This Row],[Height]],1), RIGHT(Table3[[#This Row],[Height]], LEN(Table3[[#This Row],[Height]])-2)/12)</f>
        <v>5.916666666666667</v>
      </c>
      <c r="N41" s="7">
        <f>Table3[[#This Row],[HeightFt]]*12</f>
        <v>71</v>
      </c>
      <c r="O41" s="9">
        <f>ROUND(Table3[[#This Row],[Weight]]/(Table3[[#This Row],[HtIn]]*Table3[[#This Row],[HtIn]])*703,0)</f>
        <v>25</v>
      </c>
      <c r="P41"/>
    </row>
    <row r="42" spans="1:16" x14ac:dyDescent="0.25">
      <c r="A42">
        <v>39</v>
      </c>
      <c r="B42" t="s">
        <v>1</v>
      </c>
      <c r="C42" t="s">
        <v>219</v>
      </c>
      <c r="D42" t="s">
        <v>91</v>
      </c>
      <c r="E42" t="s">
        <v>76</v>
      </c>
      <c r="F42">
        <v>187</v>
      </c>
      <c r="G42" s="4" t="s">
        <v>175</v>
      </c>
      <c r="H42" s="1">
        <v>29497</v>
      </c>
      <c r="I42" t="s">
        <v>298</v>
      </c>
      <c r="J42" t="s">
        <v>310</v>
      </c>
      <c r="K42" t="s">
        <v>315</v>
      </c>
      <c r="L42" s="8">
        <f ca="1">DATEDIF(Table3[[#This Row],[DOB]],TODAY(),"y")</f>
        <v>41</v>
      </c>
      <c r="M42" s="7">
        <f>SUM(LEFT(Table3[[#This Row],[Height]],1), RIGHT(Table3[[#This Row],[Height]], LEN(Table3[[#This Row],[Height]])-2)/12)</f>
        <v>6</v>
      </c>
      <c r="N42" s="7">
        <f>Table3[[#This Row],[HeightFt]]*12</f>
        <v>72</v>
      </c>
      <c r="O42" s="9">
        <f>ROUND(Table3[[#This Row],[Weight]]/(Table3[[#This Row],[HtIn]]*Table3[[#This Row],[HtIn]])*703,0)</f>
        <v>25</v>
      </c>
      <c r="P42"/>
    </row>
    <row r="43" spans="1:16" x14ac:dyDescent="0.25">
      <c r="A43">
        <v>40</v>
      </c>
      <c r="B43" t="s">
        <v>1</v>
      </c>
      <c r="C43" t="s">
        <v>219</v>
      </c>
      <c r="D43" t="s">
        <v>199</v>
      </c>
      <c r="E43" t="s">
        <v>200</v>
      </c>
      <c r="F43">
        <v>170</v>
      </c>
      <c r="G43" s="4" t="s">
        <v>174</v>
      </c>
      <c r="H43" s="1">
        <v>31766</v>
      </c>
      <c r="I43" t="s">
        <v>299</v>
      </c>
      <c r="J43" t="s">
        <v>313</v>
      </c>
      <c r="K43" t="s">
        <v>315</v>
      </c>
      <c r="L43" s="8">
        <f ca="1">DATEDIF(Table3[[#This Row],[DOB]],TODAY(),"y")</f>
        <v>35</v>
      </c>
      <c r="M43" s="7">
        <f>SUM(LEFT(Table3[[#This Row],[Height]],1), RIGHT(Table3[[#This Row],[Height]], LEN(Table3[[#This Row],[Height]])-2)/12)</f>
        <v>5.75</v>
      </c>
      <c r="N43" s="7">
        <f>Table3[[#This Row],[HeightFt]]*12</f>
        <v>69</v>
      </c>
      <c r="O43" s="9">
        <f>ROUND(Table3[[#This Row],[Weight]]/(Table3[[#This Row],[HtIn]]*Table3[[#This Row],[HtIn]])*703,0)</f>
        <v>25</v>
      </c>
      <c r="P43"/>
    </row>
    <row r="44" spans="1:16" x14ac:dyDescent="0.25">
      <c r="A44">
        <v>41</v>
      </c>
      <c r="B44" t="s">
        <v>1</v>
      </c>
      <c r="C44" t="s">
        <v>219</v>
      </c>
      <c r="D44" t="s">
        <v>201</v>
      </c>
      <c r="E44" t="s">
        <v>202</v>
      </c>
      <c r="F44">
        <v>205</v>
      </c>
      <c r="G44" s="4" t="s">
        <v>171</v>
      </c>
      <c r="H44" s="1">
        <v>31847</v>
      </c>
      <c r="I44" t="s">
        <v>300</v>
      </c>
      <c r="J44" t="s">
        <v>312</v>
      </c>
      <c r="K44" t="s">
        <v>315</v>
      </c>
      <c r="L44" s="8">
        <f ca="1">DATEDIF(Table3[[#This Row],[DOB]],TODAY(),"y")</f>
        <v>35</v>
      </c>
      <c r="M44" s="7">
        <f>SUM(LEFT(Table3[[#This Row],[Height]],1), RIGHT(Table3[[#This Row],[Height]], LEN(Table3[[#This Row],[Height]])-2)/12)</f>
        <v>6.25</v>
      </c>
      <c r="N44" s="7">
        <f>Table3[[#This Row],[HeightFt]]*12</f>
        <v>75</v>
      </c>
      <c r="O44" s="9">
        <f>ROUND(Table3[[#This Row],[Weight]]/(Table3[[#This Row],[HtIn]]*Table3[[#This Row],[HtIn]])*703,0)</f>
        <v>26</v>
      </c>
      <c r="P44"/>
    </row>
    <row r="45" spans="1:16" x14ac:dyDescent="0.25">
      <c r="A45">
        <v>42</v>
      </c>
      <c r="B45" t="s">
        <v>1</v>
      </c>
      <c r="C45" t="s">
        <v>219</v>
      </c>
      <c r="D45" t="s">
        <v>203</v>
      </c>
      <c r="E45" t="s">
        <v>204</v>
      </c>
      <c r="F45">
        <v>190</v>
      </c>
      <c r="G45" s="4" t="s">
        <v>188</v>
      </c>
      <c r="H45" s="1">
        <v>33268</v>
      </c>
      <c r="I45" t="s">
        <v>287</v>
      </c>
      <c r="J45" t="s">
        <v>317</v>
      </c>
      <c r="K45" t="s">
        <v>315</v>
      </c>
      <c r="L45" s="8">
        <f ca="1">DATEDIF(Table3[[#This Row],[DOB]],TODAY(),"y")</f>
        <v>31</v>
      </c>
      <c r="M45" s="7">
        <f>SUM(LEFT(Table3[[#This Row],[Height]],1), RIGHT(Table3[[#This Row],[Height]], LEN(Table3[[#This Row],[Height]])-2)/12)</f>
        <v>6.083333333333333</v>
      </c>
      <c r="N45" s="7">
        <f>Table3[[#This Row],[HeightFt]]*12</f>
        <v>73</v>
      </c>
      <c r="O45" s="9">
        <f>ROUND(Table3[[#This Row],[Weight]]/(Table3[[#This Row],[HtIn]]*Table3[[#This Row],[HtIn]])*703,0)</f>
        <v>25</v>
      </c>
      <c r="P45"/>
    </row>
    <row r="46" spans="1:16" x14ac:dyDescent="0.25">
      <c r="A46">
        <v>43</v>
      </c>
      <c r="B46" t="s">
        <v>1</v>
      </c>
      <c r="C46" t="s">
        <v>219</v>
      </c>
      <c r="D46" t="s">
        <v>205</v>
      </c>
      <c r="E46" t="s">
        <v>206</v>
      </c>
      <c r="F46">
        <v>200</v>
      </c>
      <c r="G46" s="4" t="s">
        <v>188</v>
      </c>
      <c r="H46" s="1">
        <v>32842</v>
      </c>
      <c r="I46" t="s">
        <v>273</v>
      </c>
      <c r="J46" t="s">
        <v>310</v>
      </c>
      <c r="K46" t="s">
        <v>315</v>
      </c>
      <c r="L46" s="8">
        <f ca="1">DATEDIF(Table3[[#This Row],[DOB]],TODAY(),"y")</f>
        <v>32</v>
      </c>
      <c r="M46" s="7">
        <f>SUM(LEFT(Table3[[#This Row],[Height]],1), RIGHT(Table3[[#This Row],[Height]], LEN(Table3[[#This Row],[Height]])-2)/12)</f>
        <v>6.083333333333333</v>
      </c>
      <c r="N46" s="7">
        <f>Table3[[#This Row],[HeightFt]]*12</f>
        <v>73</v>
      </c>
      <c r="O46" s="9">
        <f>ROUND(Table3[[#This Row],[Weight]]/(Table3[[#This Row],[HtIn]]*Table3[[#This Row],[HtIn]])*703,0)</f>
        <v>26</v>
      </c>
      <c r="P46"/>
    </row>
    <row r="47" spans="1:16" x14ac:dyDescent="0.25">
      <c r="A47">
        <v>44</v>
      </c>
      <c r="B47" t="s">
        <v>1</v>
      </c>
      <c r="C47" t="s">
        <v>219</v>
      </c>
      <c r="D47" t="s">
        <v>207</v>
      </c>
      <c r="E47" t="s">
        <v>208</v>
      </c>
      <c r="F47">
        <v>185</v>
      </c>
      <c r="G47" s="4" t="s">
        <v>209</v>
      </c>
      <c r="H47" s="1">
        <v>31583</v>
      </c>
      <c r="I47" t="s">
        <v>222</v>
      </c>
      <c r="J47" t="s">
        <v>316</v>
      </c>
      <c r="K47" t="s">
        <v>315</v>
      </c>
      <c r="L47" s="8">
        <f ca="1">DATEDIF(Table3[[#This Row],[DOB]],TODAY(),"y")</f>
        <v>35</v>
      </c>
      <c r="M47" s="7">
        <f>SUM(LEFT(Table3[[#This Row],[Height]],1), RIGHT(Table3[[#This Row],[Height]], LEN(Table3[[#This Row],[Height]])-2)/12)</f>
        <v>5.833333333333333</v>
      </c>
      <c r="N47" s="7">
        <f>Table3[[#This Row],[HeightFt]]*12</f>
        <v>70</v>
      </c>
      <c r="O47" s="9">
        <f>ROUND(Table3[[#This Row],[Weight]]/(Table3[[#This Row],[HtIn]]*Table3[[#This Row],[HtIn]])*703,0)</f>
        <v>27</v>
      </c>
      <c r="P47"/>
    </row>
    <row r="48" spans="1:16" x14ac:dyDescent="0.25">
      <c r="A48">
        <v>45</v>
      </c>
      <c r="B48" t="s">
        <v>1</v>
      </c>
      <c r="C48" t="s">
        <v>219</v>
      </c>
      <c r="D48" t="s">
        <v>191</v>
      </c>
      <c r="E48" t="s">
        <v>210</v>
      </c>
      <c r="F48">
        <v>198</v>
      </c>
      <c r="G48" s="4" t="s">
        <v>175</v>
      </c>
      <c r="H48" s="1">
        <v>31921</v>
      </c>
      <c r="I48" t="s">
        <v>245</v>
      </c>
      <c r="J48" t="s">
        <v>312</v>
      </c>
      <c r="K48" t="s">
        <v>315</v>
      </c>
      <c r="L48" s="8">
        <f ca="1">DATEDIF(Table3[[#This Row],[DOB]],TODAY(),"y")</f>
        <v>34</v>
      </c>
      <c r="M48" s="7">
        <f>SUM(LEFT(Table3[[#This Row],[Height]],1), RIGHT(Table3[[#This Row],[Height]], LEN(Table3[[#This Row],[Height]])-2)/12)</f>
        <v>6</v>
      </c>
      <c r="N48" s="7">
        <f>Table3[[#This Row],[HeightFt]]*12</f>
        <v>72</v>
      </c>
      <c r="O48" s="9">
        <f>ROUND(Table3[[#This Row],[Weight]]/(Table3[[#This Row],[HtIn]]*Table3[[#This Row],[HtIn]])*703,0)</f>
        <v>27</v>
      </c>
      <c r="P48"/>
    </row>
    <row r="49" spans="1:16" x14ac:dyDescent="0.25">
      <c r="A49">
        <v>46</v>
      </c>
      <c r="B49" t="s">
        <v>1</v>
      </c>
      <c r="C49" t="s">
        <v>219</v>
      </c>
      <c r="D49" t="s">
        <v>211</v>
      </c>
      <c r="E49" t="s">
        <v>212</v>
      </c>
      <c r="F49">
        <v>181</v>
      </c>
      <c r="G49" s="4" t="s">
        <v>182</v>
      </c>
      <c r="H49" s="1">
        <v>31666</v>
      </c>
      <c r="I49" t="s">
        <v>301</v>
      </c>
      <c r="J49" t="s">
        <v>316</v>
      </c>
      <c r="K49" t="s">
        <v>35</v>
      </c>
      <c r="L49" s="8">
        <f ca="1">DATEDIF(Table3[[#This Row],[DOB]],TODAY(),"y")</f>
        <v>35</v>
      </c>
      <c r="M49" s="7">
        <f>SUM(LEFT(Table3[[#This Row],[Height]],1), RIGHT(Table3[[#This Row],[Height]], LEN(Table3[[#This Row],[Height]])-2)/12)</f>
        <v>6.166666666666667</v>
      </c>
      <c r="N49" s="7">
        <f>Table3[[#This Row],[HeightFt]]*12</f>
        <v>74</v>
      </c>
      <c r="O49" s="9">
        <f>ROUND(Table3[[#This Row],[Weight]]/(Table3[[#This Row],[HtIn]]*Table3[[#This Row],[HtIn]])*703,0)</f>
        <v>23</v>
      </c>
      <c r="P49"/>
    </row>
    <row r="50" spans="1:16" x14ac:dyDescent="0.25">
      <c r="A50">
        <v>47</v>
      </c>
      <c r="B50" t="s">
        <v>1</v>
      </c>
      <c r="C50" t="s">
        <v>219</v>
      </c>
      <c r="D50" t="s">
        <v>213</v>
      </c>
      <c r="E50" t="s">
        <v>214</v>
      </c>
      <c r="F50">
        <v>205</v>
      </c>
      <c r="G50" s="4" t="s">
        <v>182</v>
      </c>
      <c r="H50" s="1">
        <v>32975</v>
      </c>
      <c r="I50" t="s">
        <v>245</v>
      </c>
      <c r="J50" t="s">
        <v>312</v>
      </c>
      <c r="K50" t="s">
        <v>35</v>
      </c>
      <c r="L50" s="8">
        <f ca="1">DATEDIF(Table3[[#This Row],[DOB]],TODAY(),"y")</f>
        <v>31</v>
      </c>
      <c r="M50" s="7">
        <f>SUM(LEFT(Table3[[#This Row],[Height]],1), RIGHT(Table3[[#This Row],[Height]], LEN(Table3[[#This Row],[Height]])-2)/12)</f>
        <v>6.166666666666667</v>
      </c>
      <c r="N50" s="7">
        <f>Table3[[#This Row],[HeightFt]]*12</f>
        <v>74</v>
      </c>
      <c r="O50" s="9">
        <f>ROUND(Table3[[#This Row],[Weight]]/(Table3[[#This Row],[HtIn]]*Table3[[#This Row],[HtIn]])*703,0)</f>
        <v>26</v>
      </c>
      <c r="P50"/>
    </row>
    <row r="51" spans="1:16" x14ac:dyDescent="0.25">
      <c r="A51">
        <v>48</v>
      </c>
      <c r="B51" t="s">
        <v>1</v>
      </c>
      <c r="C51" t="s">
        <v>219</v>
      </c>
      <c r="D51" t="s">
        <v>215</v>
      </c>
      <c r="E51" t="s">
        <v>216</v>
      </c>
      <c r="F51">
        <v>210</v>
      </c>
      <c r="G51" s="4" t="s">
        <v>188</v>
      </c>
      <c r="H51" s="1">
        <v>31654</v>
      </c>
      <c r="I51" t="s">
        <v>302</v>
      </c>
      <c r="J51" t="s">
        <v>310</v>
      </c>
      <c r="K51" t="s">
        <v>35</v>
      </c>
      <c r="L51" s="8">
        <f ca="1">DATEDIF(Table3[[#This Row],[DOB]],TODAY(),"y")</f>
        <v>35</v>
      </c>
      <c r="M51" s="7">
        <f>SUM(LEFT(Table3[[#This Row],[Height]],1), RIGHT(Table3[[#This Row],[Height]], LEN(Table3[[#This Row],[Height]])-2)/12)</f>
        <v>6.083333333333333</v>
      </c>
      <c r="N51" s="7">
        <f>Table3[[#This Row],[HeightFt]]*12</f>
        <v>73</v>
      </c>
      <c r="O51" s="9">
        <f>ROUND(Table3[[#This Row],[Weight]]/(Table3[[#This Row],[HtIn]]*Table3[[#This Row],[HtIn]])*703,0)</f>
        <v>28</v>
      </c>
      <c r="P51"/>
    </row>
    <row r="52" spans="1:16" x14ac:dyDescent="0.25">
      <c r="A52">
        <v>49</v>
      </c>
      <c r="B52" t="s">
        <v>0</v>
      </c>
      <c r="C52" t="s">
        <v>2</v>
      </c>
      <c r="D52" t="s">
        <v>3</v>
      </c>
      <c r="E52" t="s">
        <v>4</v>
      </c>
      <c r="F52">
        <v>145</v>
      </c>
      <c r="G52" s="4" t="s">
        <v>305</v>
      </c>
      <c r="H52" s="1">
        <v>36167</v>
      </c>
      <c r="I52" t="s">
        <v>5</v>
      </c>
      <c r="J52" t="s">
        <v>6</v>
      </c>
      <c r="K52" t="s">
        <v>315</v>
      </c>
      <c r="L52" s="8">
        <f ca="1">DATEDIF(Table3[[#This Row],[DOB]],TODAY(),"y")</f>
        <v>23</v>
      </c>
      <c r="M52" s="7">
        <f>SUM(LEFT(Table3[[#This Row],[Height]],1), RIGHT(Table3[[#This Row],[Height]], LEN(Table3[[#This Row],[Height]])-2)/12)</f>
        <v>5.083333333333333</v>
      </c>
      <c r="N52" s="7">
        <f>Table3[[#This Row],[HeightFt]]*12</f>
        <v>61</v>
      </c>
      <c r="O52" s="9">
        <f>ROUND(Table3[[#This Row],[Weight]]/(Table3[[#This Row],[HtIn]]*Table3[[#This Row],[HtIn]])*703,0)</f>
        <v>27</v>
      </c>
      <c r="P52"/>
    </row>
    <row r="53" spans="1:16" x14ac:dyDescent="0.25">
      <c r="A53">
        <v>50</v>
      </c>
      <c r="B53" t="s">
        <v>0</v>
      </c>
      <c r="C53" t="s">
        <v>2</v>
      </c>
      <c r="D53" t="s">
        <v>7</v>
      </c>
      <c r="E53" t="s">
        <v>8</v>
      </c>
      <c r="F53">
        <v>145</v>
      </c>
      <c r="G53" s="4" t="s">
        <v>218</v>
      </c>
      <c r="H53" s="1">
        <v>31889</v>
      </c>
      <c r="I53" t="s">
        <v>9</v>
      </c>
      <c r="J53" t="s">
        <v>10</v>
      </c>
      <c r="K53" t="s">
        <v>315</v>
      </c>
      <c r="L53" s="8">
        <f ca="1">DATEDIF(Table3[[#This Row],[DOB]],TODAY(),"y")</f>
        <v>34</v>
      </c>
      <c r="M53" s="7">
        <f>SUM(LEFT(Table3[[#This Row],[Height]],1), RIGHT(Table3[[#This Row],[Height]], LEN(Table3[[#This Row],[Height]])-2)/12)</f>
        <v>5.583333333333333</v>
      </c>
      <c r="N53" s="7">
        <f>Table3[[#This Row],[HeightFt]]*12</f>
        <v>67</v>
      </c>
      <c r="O53" s="9">
        <f>ROUND(Table3[[#This Row],[Weight]]/(Table3[[#This Row],[HtIn]]*Table3[[#This Row],[HtIn]])*703,0)</f>
        <v>23</v>
      </c>
      <c r="P53"/>
    </row>
    <row r="54" spans="1:16" x14ac:dyDescent="0.25">
      <c r="A54">
        <v>51</v>
      </c>
      <c r="B54" t="s">
        <v>0</v>
      </c>
      <c r="C54" t="s">
        <v>2</v>
      </c>
      <c r="D54" t="s">
        <v>11</v>
      </c>
      <c r="E54" t="s">
        <v>12</v>
      </c>
      <c r="F54">
        <v>150</v>
      </c>
      <c r="G54" s="4" t="s">
        <v>232</v>
      </c>
      <c r="H54" s="1">
        <v>34300</v>
      </c>
      <c r="I54" t="s">
        <v>150</v>
      </c>
      <c r="J54" t="s">
        <v>13</v>
      </c>
      <c r="K54" t="s">
        <v>14</v>
      </c>
      <c r="L54" s="8">
        <f ca="1">DATEDIF(Table3[[#This Row],[DOB]],TODAY(),"y")</f>
        <v>28</v>
      </c>
      <c r="M54" s="7">
        <f>SUM(LEFT(Table3[[#This Row],[Height]],1), RIGHT(Table3[[#This Row],[Height]], LEN(Table3[[#This Row],[Height]])-2)/12)</f>
        <v>5.5</v>
      </c>
      <c r="N54" s="7">
        <f>Table3[[#This Row],[HeightFt]]*12</f>
        <v>66</v>
      </c>
      <c r="O54" s="9">
        <f>ROUND(Table3[[#This Row],[Weight]]/(Table3[[#This Row],[HtIn]]*Table3[[#This Row],[HtIn]])*703,0)</f>
        <v>24</v>
      </c>
      <c r="P54"/>
    </row>
    <row r="55" spans="1:16" x14ac:dyDescent="0.25">
      <c r="A55">
        <v>52</v>
      </c>
      <c r="B55" t="s">
        <v>0</v>
      </c>
      <c r="C55" t="s">
        <v>2</v>
      </c>
      <c r="D55" t="s">
        <v>15</v>
      </c>
      <c r="E55" t="s">
        <v>16</v>
      </c>
      <c r="F55">
        <v>148</v>
      </c>
      <c r="G55" s="4" t="s">
        <v>229</v>
      </c>
      <c r="H55" s="1">
        <v>34880</v>
      </c>
      <c r="I55" t="s">
        <v>17</v>
      </c>
      <c r="J55" t="s">
        <v>13</v>
      </c>
      <c r="K55" t="s">
        <v>14</v>
      </c>
      <c r="L55" s="8">
        <f ca="1">DATEDIF(Table3[[#This Row],[DOB]],TODAY(),"y")</f>
        <v>26</v>
      </c>
      <c r="M55" s="7">
        <f>SUM(LEFT(Table3[[#This Row],[Height]],1), RIGHT(Table3[[#This Row],[Height]], LEN(Table3[[#This Row],[Height]])-2)/12)</f>
        <v>5.416666666666667</v>
      </c>
      <c r="N55" s="7">
        <f>Table3[[#This Row],[HeightFt]]*12</f>
        <v>65</v>
      </c>
      <c r="O55" s="9">
        <f>ROUND(Table3[[#This Row],[Weight]]/(Table3[[#This Row],[HtIn]]*Table3[[#This Row],[HtIn]])*703,0)</f>
        <v>25</v>
      </c>
      <c r="P55"/>
    </row>
    <row r="56" spans="1:16" x14ac:dyDescent="0.25">
      <c r="A56">
        <v>53</v>
      </c>
      <c r="B56" t="s">
        <v>0</v>
      </c>
      <c r="C56" t="s">
        <v>2</v>
      </c>
      <c r="D56" t="s">
        <v>18</v>
      </c>
      <c r="E56" t="s">
        <v>19</v>
      </c>
      <c r="F56">
        <v>123</v>
      </c>
      <c r="G56" s="4" t="s">
        <v>306</v>
      </c>
      <c r="H56" s="1">
        <v>33749</v>
      </c>
      <c r="I56" t="s">
        <v>151</v>
      </c>
      <c r="J56" t="s">
        <v>20</v>
      </c>
      <c r="K56" t="s">
        <v>14</v>
      </c>
      <c r="L56" s="8">
        <f ca="1">DATEDIF(Table3[[#This Row],[DOB]],TODAY(),"y")</f>
        <v>29</v>
      </c>
      <c r="M56" s="7">
        <f>SUM(LEFT(Table3[[#This Row],[Height]],1), RIGHT(Table3[[#This Row],[Height]], LEN(Table3[[#This Row],[Height]])-2)/12)</f>
        <v>5.166666666666667</v>
      </c>
      <c r="N56" s="7">
        <f>Table3[[#This Row],[HeightFt]]*12</f>
        <v>62</v>
      </c>
      <c r="O56" s="9">
        <f>ROUND(Table3[[#This Row],[Weight]]/(Table3[[#This Row],[HtIn]]*Table3[[#This Row],[HtIn]])*703,0)</f>
        <v>22</v>
      </c>
      <c r="P56"/>
    </row>
    <row r="57" spans="1:16" x14ac:dyDescent="0.25">
      <c r="A57">
        <v>54</v>
      </c>
      <c r="B57" t="s">
        <v>0</v>
      </c>
      <c r="C57" t="s">
        <v>2</v>
      </c>
      <c r="D57" t="s">
        <v>21</v>
      </c>
      <c r="E57" t="s">
        <v>22</v>
      </c>
      <c r="F57">
        <v>150</v>
      </c>
      <c r="G57" s="4" t="s">
        <v>254</v>
      </c>
      <c r="H57" s="1">
        <v>33371</v>
      </c>
      <c r="I57" t="s">
        <v>23</v>
      </c>
      <c r="J57" t="s">
        <v>24</v>
      </c>
      <c r="K57" t="s">
        <v>14</v>
      </c>
      <c r="L57" s="8">
        <f ca="1">DATEDIF(Table3[[#This Row],[DOB]],TODAY(),"y")</f>
        <v>30</v>
      </c>
      <c r="M57" s="7">
        <f>SUM(LEFT(Table3[[#This Row],[Height]],1), RIGHT(Table3[[#This Row],[Height]], LEN(Table3[[#This Row],[Height]])-2)/12)</f>
        <v>5.333333333333333</v>
      </c>
      <c r="N57" s="7">
        <f>Table3[[#This Row],[HeightFt]]*12</f>
        <v>64</v>
      </c>
      <c r="O57" s="9">
        <f>ROUND(Table3[[#This Row],[Weight]]/(Table3[[#This Row],[HtIn]]*Table3[[#This Row],[HtIn]])*703,0)</f>
        <v>26</v>
      </c>
      <c r="P57"/>
    </row>
    <row r="58" spans="1:16" x14ac:dyDescent="0.25">
      <c r="A58">
        <v>55</v>
      </c>
      <c r="B58" t="s">
        <v>0</v>
      </c>
      <c r="C58" t="s">
        <v>2</v>
      </c>
      <c r="D58" t="s">
        <v>25</v>
      </c>
      <c r="E58" t="s">
        <v>26</v>
      </c>
      <c r="F58">
        <v>164</v>
      </c>
      <c r="G58" s="4" t="s">
        <v>209</v>
      </c>
      <c r="H58" s="1">
        <v>32023</v>
      </c>
      <c r="I58" t="s">
        <v>27</v>
      </c>
      <c r="J58" t="s">
        <v>10</v>
      </c>
      <c r="K58" t="s">
        <v>14</v>
      </c>
      <c r="L58" s="8">
        <f ca="1">DATEDIF(Table3[[#This Row],[DOB]],TODAY(),"y")</f>
        <v>34</v>
      </c>
      <c r="M58" s="7">
        <f>SUM(LEFT(Table3[[#This Row],[Height]],1), RIGHT(Table3[[#This Row],[Height]], LEN(Table3[[#This Row],[Height]])-2)/12)</f>
        <v>5.833333333333333</v>
      </c>
      <c r="N58" s="7">
        <f>Table3[[#This Row],[HeightFt]]*12</f>
        <v>70</v>
      </c>
      <c r="O58" s="9">
        <f>ROUND(Table3[[#This Row],[Weight]]/(Table3[[#This Row],[HtIn]]*Table3[[#This Row],[HtIn]])*703,0)</f>
        <v>24</v>
      </c>
      <c r="P58"/>
    </row>
    <row r="59" spans="1:16" x14ac:dyDescent="0.25">
      <c r="A59">
        <v>56</v>
      </c>
      <c r="B59" t="s">
        <v>0</v>
      </c>
      <c r="C59" t="s">
        <v>2</v>
      </c>
      <c r="D59" t="s">
        <v>28</v>
      </c>
      <c r="E59" t="s">
        <v>29</v>
      </c>
      <c r="F59">
        <v>142</v>
      </c>
      <c r="G59" s="4" t="s">
        <v>254</v>
      </c>
      <c r="H59" s="1">
        <v>34961</v>
      </c>
      <c r="I59" t="s">
        <v>30</v>
      </c>
      <c r="J59" t="s">
        <v>10</v>
      </c>
      <c r="K59" t="s">
        <v>315</v>
      </c>
      <c r="L59" s="8">
        <f ca="1">DATEDIF(Table3[[#This Row],[DOB]],TODAY(),"y")</f>
        <v>26</v>
      </c>
      <c r="M59" s="7">
        <f>SUM(LEFT(Table3[[#This Row],[Height]],1), RIGHT(Table3[[#This Row],[Height]], LEN(Table3[[#This Row],[Height]])-2)/12)</f>
        <v>5.333333333333333</v>
      </c>
      <c r="N59" s="7">
        <f>Table3[[#This Row],[HeightFt]]*12</f>
        <v>64</v>
      </c>
      <c r="O59" s="9">
        <f>ROUND(Table3[[#This Row],[Weight]]/(Table3[[#This Row],[HtIn]]*Table3[[#This Row],[HtIn]])*703,0)</f>
        <v>24</v>
      </c>
      <c r="P59"/>
    </row>
    <row r="60" spans="1:16" x14ac:dyDescent="0.25">
      <c r="A60">
        <v>57</v>
      </c>
      <c r="B60" t="s">
        <v>0</v>
      </c>
      <c r="C60" t="s">
        <v>2</v>
      </c>
      <c r="D60" t="s">
        <v>31</v>
      </c>
      <c r="E60" t="s">
        <v>32</v>
      </c>
      <c r="F60">
        <v>155</v>
      </c>
      <c r="G60" s="4" t="s">
        <v>218</v>
      </c>
      <c r="H60" s="1">
        <v>34508</v>
      </c>
      <c r="I60" t="s">
        <v>33</v>
      </c>
      <c r="J60" t="s">
        <v>34</v>
      </c>
      <c r="K60" t="s">
        <v>35</v>
      </c>
      <c r="L60" s="8">
        <f ca="1">DATEDIF(Table3[[#This Row],[DOB]],TODAY(),"y")</f>
        <v>27</v>
      </c>
      <c r="M60" s="7">
        <f>SUM(LEFT(Table3[[#This Row],[Height]],1), RIGHT(Table3[[#This Row],[Height]], LEN(Table3[[#This Row],[Height]])-2)/12)</f>
        <v>5.583333333333333</v>
      </c>
      <c r="N60" s="7">
        <f>Table3[[#This Row],[HeightFt]]*12</f>
        <v>67</v>
      </c>
      <c r="O60" s="9">
        <f>ROUND(Table3[[#This Row],[Weight]]/(Table3[[#This Row],[HtIn]]*Table3[[#This Row],[HtIn]])*703,0)</f>
        <v>24</v>
      </c>
      <c r="P60"/>
    </row>
    <row r="61" spans="1:16" x14ac:dyDescent="0.25">
      <c r="A61">
        <v>58</v>
      </c>
      <c r="B61" t="s">
        <v>0</v>
      </c>
      <c r="C61" t="s">
        <v>2</v>
      </c>
      <c r="D61" t="s">
        <v>36</v>
      </c>
      <c r="E61" t="s">
        <v>37</v>
      </c>
      <c r="F61">
        <v>160</v>
      </c>
      <c r="G61" s="4" t="s">
        <v>168</v>
      </c>
      <c r="H61" s="1">
        <v>35186</v>
      </c>
      <c r="I61" t="s">
        <v>38</v>
      </c>
      <c r="J61" t="s">
        <v>39</v>
      </c>
      <c r="K61" t="s">
        <v>315</v>
      </c>
      <c r="L61" s="8">
        <f ca="1">DATEDIF(Table3[[#This Row],[DOB]],TODAY(),"y")</f>
        <v>25</v>
      </c>
      <c r="M61" s="7">
        <f>SUM(LEFT(Table3[[#This Row],[Height]],1), RIGHT(Table3[[#This Row],[Height]], LEN(Table3[[#This Row],[Height]])-2)/12)</f>
        <v>5.916666666666667</v>
      </c>
      <c r="N61" s="7">
        <f>Table3[[#This Row],[HeightFt]]*12</f>
        <v>71</v>
      </c>
      <c r="O61" s="9">
        <f>ROUND(Table3[[#This Row],[Weight]]/(Table3[[#This Row],[HtIn]]*Table3[[#This Row],[HtIn]])*703,0)</f>
        <v>22</v>
      </c>
      <c r="P61"/>
    </row>
    <row r="62" spans="1:16" x14ac:dyDescent="0.25">
      <c r="A62">
        <v>59</v>
      </c>
      <c r="B62" t="s">
        <v>0</v>
      </c>
      <c r="C62" t="s">
        <v>2</v>
      </c>
      <c r="D62" t="s">
        <v>40</v>
      </c>
      <c r="E62" t="s">
        <v>41</v>
      </c>
      <c r="F62">
        <v>136</v>
      </c>
      <c r="G62" s="4" t="s">
        <v>229</v>
      </c>
      <c r="H62" s="1">
        <v>33478</v>
      </c>
      <c r="I62" t="s">
        <v>42</v>
      </c>
      <c r="J62" t="s">
        <v>24</v>
      </c>
      <c r="K62" t="s">
        <v>14</v>
      </c>
      <c r="L62" s="8">
        <f ca="1">DATEDIF(Table3[[#This Row],[DOB]],TODAY(),"y")</f>
        <v>30</v>
      </c>
      <c r="M62" s="7">
        <f>SUM(LEFT(Table3[[#This Row],[Height]],1), RIGHT(Table3[[#This Row],[Height]], LEN(Table3[[#This Row],[Height]])-2)/12)</f>
        <v>5.416666666666667</v>
      </c>
      <c r="N62" s="7">
        <f>Table3[[#This Row],[HeightFt]]*12</f>
        <v>65</v>
      </c>
      <c r="O62" s="9">
        <f>ROUND(Table3[[#This Row],[Weight]]/(Table3[[#This Row],[HtIn]]*Table3[[#This Row],[HtIn]])*703,0)</f>
        <v>23</v>
      </c>
      <c r="P62"/>
    </row>
    <row r="63" spans="1:16" x14ac:dyDescent="0.25">
      <c r="A63">
        <v>60</v>
      </c>
      <c r="B63" t="s">
        <v>0</v>
      </c>
      <c r="C63" t="s">
        <v>2</v>
      </c>
      <c r="D63" t="s">
        <v>43</v>
      </c>
      <c r="E63" t="s">
        <v>44</v>
      </c>
      <c r="F63">
        <v>175</v>
      </c>
      <c r="G63" s="4" t="s">
        <v>168</v>
      </c>
      <c r="H63" s="1">
        <v>32701</v>
      </c>
      <c r="I63" t="s">
        <v>152</v>
      </c>
      <c r="J63" t="s">
        <v>45</v>
      </c>
      <c r="K63" t="s">
        <v>14</v>
      </c>
      <c r="L63" s="8">
        <f ca="1">DATEDIF(Table3[[#This Row],[DOB]],TODAY(),"y")</f>
        <v>32</v>
      </c>
      <c r="M63" s="7">
        <f>SUM(LEFT(Table3[[#This Row],[Height]],1), RIGHT(Table3[[#This Row],[Height]], LEN(Table3[[#This Row],[Height]])-2)/12)</f>
        <v>5.916666666666667</v>
      </c>
      <c r="N63" s="7">
        <f>Table3[[#This Row],[HeightFt]]*12</f>
        <v>71</v>
      </c>
      <c r="O63" s="9">
        <f>ROUND(Table3[[#This Row],[Weight]]/(Table3[[#This Row],[HtIn]]*Table3[[#This Row],[HtIn]])*703,0)</f>
        <v>24</v>
      </c>
      <c r="P63"/>
    </row>
    <row r="64" spans="1:16" x14ac:dyDescent="0.25">
      <c r="A64">
        <v>61</v>
      </c>
      <c r="B64" t="s">
        <v>0</v>
      </c>
      <c r="C64" t="s">
        <v>2</v>
      </c>
      <c r="D64" t="s">
        <v>46</v>
      </c>
      <c r="E64" t="s">
        <v>47</v>
      </c>
      <c r="F64">
        <v>150</v>
      </c>
      <c r="G64" s="4" t="s">
        <v>232</v>
      </c>
      <c r="H64" s="1">
        <v>32692</v>
      </c>
      <c r="I64" t="s">
        <v>153</v>
      </c>
      <c r="J64" t="s">
        <v>48</v>
      </c>
      <c r="K64" t="s">
        <v>14</v>
      </c>
      <c r="L64" s="8">
        <f ca="1">DATEDIF(Table3[[#This Row],[DOB]],TODAY(),"y")</f>
        <v>32</v>
      </c>
      <c r="M64" s="7">
        <f>SUM(LEFT(Table3[[#This Row],[Height]],1), RIGHT(Table3[[#This Row],[Height]], LEN(Table3[[#This Row],[Height]])-2)/12)</f>
        <v>5.5</v>
      </c>
      <c r="N64" s="7">
        <f>Table3[[#This Row],[HeightFt]]*12</f>
        <v>66</v>
      </c>
      <c r="O64" s="9">
        <f>ROUND(Table3[[#This Row],[Weight]]/(Table3[[#This Row],[HtIn]]*Table3[[#This Row],[HtIn]])*703,0)</f>
        <v>24</v>
      </c>
      <c r="P64"/>
    </row>
    <row r="65" spans="1:16" x14ac:dyDescent="0.25">
      <c r="A65">
        <v>62</v>
      </c>
      <c r="B65" t="s">
        <v>0</v>
      </c>
      <c r="C65" t="s">
        <v>2</v>
      </c>
      <c r="D65" t="s">
        <v>49</v>
      </c>
      <c r="E65" t="s">
        <v>50</v>
      </c>
      <c r="F65">
        <v>147</v>
      </c>
      <c r="G65" s="4" t="s">
        <v>232</v>
      </c>
      <c r="H65" s="1">
        <v>32692</v>
      </c>
      <c r="I65" t="s">
        <v>153</v>
      </c>
      <c r="J65" t="s">
        <v>48</v>
      </c>
      <c r="K65" t="s">
        <v>14</v>
      </c>
      <c r="L65" s="8">
        <f ca="1">DATEDIF(Table3[[#This Row],[DOB]],TODAY(),"y")</f>
        <v>32</v>
      </c>
      <c r="M65" s="7">
        <f>SUM(LEFT(Table3[[#This Row],[Height]],1), RIGHT(Table3[[#This Row],[Height]], LEN(Table3[[#This Row],[Height]])-2)/12)</f>
        <v>5.5</v>
      </c>
      <c r="N65" s="7">
        <f>Table3[[#This Row],[HeightFt]]*12</f>
        <v>66</v>
      </c>
      <c r="O65" s="9">
        <f>ROUND(Table3[[#This Row],[Weight]]/(Table3[[#This Row],[HtIn]]*Table3[[#This Row],[HtIn]])*703,0)</f>
        <v>24</v>
      </c>
      <c r="P65"/>
    </row>
    <row r="66" spans="1:16" x14ac:dyDescent="0.25">
      <c r="A66">
        <v>63</v>
      </c>
      <c r="B66" t="s">
        <v>0</v>
      </c>
      <c r="C66" t="s">
        <v>2</v>
      </c>
      <c r="D66" t="s">
        <v>51</v>
      </c>
      <c r="E66" t="s">
        <v>52</v>
      </c>
      <c r="F66">
        <v>159</v>
      </c>
      <c r="G66" s="4" t="s">
        <v>179</v>
      </c>
      <c r="H66" s="1">
        <v>31843</v>
      </c>
      <c r="I66" t="s">
        <v>53</v>
      </c>
      <c r="J66" t="s">
        <v>13</v>
      </c>
      <c r="K66" t="s">
        <v>14</v>
      </c>
      <c r="L66" s="8">
        <f ca="1">DATEDIF(Table3[[#This Row],[DOB]],TODAY(),"y")</f>
        <v>35</v>
      </c>
      <c r="M66" s="7">
        <f>SUM(LEFT(Table3[[#This Row],[Height]],1), RIGHT(Table3[[#This Row],[Height]], LEN(Table3[[#This Row],[Height]])-2)/12)</f>
        <v>5.666666666666667</v>
      </c>
      <c r="N66" s="7">
        <f>Table3[[#This Row],[HeightFt]]*12</f>
        <v>68</v>
      </c>
      <c r="O66" s="9">
        <f>ROUND(Table3[[#This Row],[Weight]]/(Table3[[#This Row],[HtIn]]*Table3[[#This Row],[HtIn]])*703,0)</f>
        <v>24</v>
      </c>
      <c r="P66"/>
    </row>
    <row r="67" spans="1:16" x14ac:dyDescent="0.25">
      <c r="A67">
        <v>64</v>
      </c>
      <c r="B67" t="s">
        <v>0</v>
      </c>
      <c r="C67" t="s">
        <v>2</v>
      </c>
      <c r="D67" t="s">
        <v>54</v>
      </c>
      <c r="E67" t="s">
        <v>55</v>
      </c>
      <c r="F67">
        <v>140</v>
      </c>
      <c r="G67" s="4" t="s">
        <v>229</v>
      </c>
      <c r="H67" s="1">
        <v>34856</v>
      </c>
      <c r="I67" t="s">
        <v>56</v>
      </c>
      <c r="J67" t="s">
        <v>13</v>
      </c>
      <c r="K67" t="s">
        <v>315</v>
      </c>
      <c r="L67" s="8">
        <f ca="1">DATEDIF(Table3[[#This Row],[DOB]],TODAY(),"y")</f>
        <v>26</v>
      </c>
      <c r="M67" s="7">
        <f>SUM(LEFT(Table3[[#This Row],[Height]],1), RIGHT(Table3[[#This Row],[Height]], LEN(Table3[[#This Row],[Height]])-2)/12)</f>
        <v>5.416666666666667</v>
      </c>
      <c r="N67" s="7">
        <f>Table3[[#This Row],[HeightFt]]*12</f>
        <v>65</v>
      </c>
      <c r="O67" s="9">
        <f>ROUND(Table3[[#This Row],[Weight]]/(Table3[[#This Row],[HtIn]]*Table3[[#This Row],[HtIn]])*703,0)</f>
        <v>23</v>
      </c>
      <c r="P67"/>
    </row>
    <row r="68" spans="1:16" x14ac:dyDescent="0.25">
      <c r="A68">
        <v>65</v>
      </c>
      <c r="B68" t="s">
        <v>0</v>
      </c>
      <c r="C68" t="s">
        <v>2</v>
      </c>
      <c r="D68" t="s">
        <v>57</v>
      </c>
      <c r="E68" t="s">
        <v>58</v>
      </c>
      <c r="F68">
        <v>165</v>
      </c>
      <c r="G68" s="4" t="s">
        <v>179</v>
      </c>
      <c r="H68" s="1">
        <v>35062</v>
      </c>
      <c r="I68" t="s">
        <v>17</v>
      </c>
      <c r="J68" t="s">
        <v>13</v>
      </c>
      <c r="K68" t="s">
        <v>14</v>
      </c>
      <c r="L68" s="8">
        <f ca="1">DATEDIF(Table3[[#This Row],[DOB]],TODAY(),"y")</f>
        <v>26</v>
      </c>
      <c r="M68" s="7">
        <f>SUM(LEFT(Table3[[#This Row],[Height]],1), RIGHT(Table3[[#This Row],[Height]], LEN(Table3[[#This Row],[Height]])-2)/12)</f>
        <v>5.666666666666667</v>
      </c>
      <c r="N68" s="7">
        <f>Table3[[#This Row],[HeightFt]]*12</f>
        <v>68</v>
      </c>
      <c r="O68" s="9">
        <f>ROUND(Table3[[#This Row],[Weight]]/(Table3[[#This Row],[HtIn]]*Table3[[#This Row],[HtIn]])*703,0)</f>
        <v>25</v>
      </c>
      <c r="P68"/>
    </row>
    <row r="69" spans="1:16" x14ac:dyDescent="0.25">
      <c r="A69">
        <v>66</v>
      </c>
      <c r="B69" t="s">
        <v>0</v>
      </c>
      <c r="C69" t="s">
        <v>2</v>
      </c>
      <c r="D69" t="s">
        <v>40</v>
      </c>
      <c r="E69" t="s">
        <v>59</v>
      </c>
      <c r="F69">
        <v>135</v>
      </c>
      <c r="G69" s="4" t="s">
        <v>307</v>
      </c>
      <c r="H69" s="1">
        <v>34118</v>
      </c>
      <c r="I69" t="s">
        <v>60</v>
      </c>
      <c r="J69" t="s">
        <v>61</v>
      </c>
      <c r="K69" t="s">
        <v>14</v>
      </c>
      <c r="L69" s="8">
        <f ca="1">DATEDIF(Table3[[#This Row],[DOB]],TODAY(),"y")</f>
        <v>28</v>
      </c>
      <c r="M69" s="7">
        <f>SUM(LEFT(Table3[[#This Row],[Height]],1), RIGHT(Table3[[#This Row],[Height]], LEN(Table3[[#This Row],[Height]])-2)/12)</f>
        <v>5.25</v>
      </c>
      <c r="N69" s="7">
        <f>Table3[[#This Row],[HeightFt]]*12</f>
        <v>63</v>
      </c>
      <c r="O69" s="9">
        <f>ROUND(Table3[[#This Row],[Weight]]/(Table3[[#This Row],[HtIn]]*Table3[[#This Row],[HtIn]])*703,0)</f>
        <v>24</v>
      </c>
      <c r="P69"/>
    </row>
    <row r="70" spans="1:16" x14ac:dyDescent="0.25">
      <c r="A70">
        <v>67</v>
      </c>
      <c r="B70" t="s">
        <v>0</v>
      </c>
      <c r="C70" t="s">
        <v>2</v>
      </c>
      <c r="D70" t="s">
        <v>62</v>
      </c>
      <c r="E70" t="s">
        <v>63</v>
      </c>
      <c r="F70">
        <v>125</v>
      </c>
      <c r="G70" s="4" t="s">
        <v>307</v>
      </c>
      <c r="H70" s="1">
        <v>34134</v>
      </c>
      <c r="I70" t="s">
        <v>64</v>
      </c>
      <c r="J70" t="s">
        <v>65</v>
      </c>
      <c r="K70" t="s">
        <v>315</v>
      </c>
      <c r="L70" s="8">
        <f ca="1">DATEDIF(Table3[[#This Row],[DOB]],TODAY(),"y")</f>
        <v>28</v>
      </c>
      <c r="M70" s="7">
        <f>SUM(LEFT(Table3[[#This Row],[Height]],1), RIGHT(Table3[[#This Row],[Height]], LEN(Table3[[#This Row],[Height]])-2)/12)</f>
        <v>5.25</v>
      </c>
      <c r="N70" s="7">
        <f>Table3[[#This Row],[HeightFt]]*12</f>
        <v>63</v>
      </c>
      <c r="O70" s="9">
        <f>ROUND(Table3[[#This Row],[Weight]]/(Table3[[#This Row],[HtIn]]*Table3[[#This Row],[HtIn]])*703,0)</f>
        <v>22</v>
      </c>
      <c r="P70"/>
    </row>
    <row r="71" spans="1:16" x14ac:dyDescent="0.25">
      <c r="A71">
        <v>68</v>
      </c>
      <c r="B71" t="s">
        <v>0</v>
      </c>
      <c r="C71" t="s">
        <v>2</v>
      </c>
      <c r="D71" t="s">
        <v>66</v>
      </c>
      <c r="E71" t="s">
        <v>67</v>
      </c>
      <c r="F71">
        <v>150</v>
      </c>
      <c r="G71" s="4" t="s">
        <v>218</v>
      </c>
      <c r="H71" s="1">
        <v>33606</v>
      </c>
      <c r="I71" t="s">
        <v>68</v>
      </c>
      <c r="J71" t="s">
        <v>24</v>
      </c>
      <c r="K71" t="s">
        <v>35</v>
      </c>
      <c r="L71" s="8">
        <f ca="1">DATEDIF(Table3[[#This Row],[DOB]],TODAY(),"y")</f>
        <v>30</v>
      </c>
      <c r="M71" s="7">
        <f>SUM(LEFT(Table3[[#This Row],[Height]],1), RIGHT(Table3[[#This Row],[Height]], LEN(Table3[[#This Row],[Height]])-2)/12)</f>
        <v>5.583333333333333</v>
      </c>
      <c r="N71" s="7">
        <f>Table3[[#This Row],[HeightFt]]*12</f>
        <v>67</v>
      </c>
      <c r="O71" s="9">
        <f>ROUND(Table3[[#This Row],[Weight]]/(Table3[[#This Row],[HtIn]]*Table3[[#This Row],[HtIn]])*703,0)</f>
        <v>23</v>
      </c>
      <c r="P71"/>
    </row>
    <row r="72" spans="1:16" x14ac:dyDescent="0.25">
      <c r="A72">
        <v>69</v>
      </c>
      <c r="B72" t="s">
        <v>0</v>
      </c>
      <c r="C72" t="s">
        <v>2</v>
      </c>
      <c r="D72" t="s">
        <v>69</v>
      </c>
      <c r="E72" t="s">
        <v>70</v>
      </c>
      <c r="F72">
        <v>145</v>
      </c>
      <c r="G72" s="4" t="s">
        <v>229</v>
      </c>
      <c r="H72" s="1">
        <v>35618</v>
      </c>
      <c r="I72" t="s">
        <v>71</v>
      </c>
      <c r="J72" t="s">
        <v>13</v>
      </c>
      <c r="K72" t="s">
        <v>35</v>
      </c>
      <c r="L72" s="8">
        <f ca="1">DATEDIF(Table3[[#This Row],[DOB]],TODAY(),"y")</f>
        <v>24</v>
      </c>
      <c r="M72" s="7">
        <f>SUM(LEFT(Table3[[#This Row],[Height]],1), RIGHT(Table3[[#This Row],[Height]], LEN(Table3[[#This Row],[Height]])-2)/12)</f>
        <v>5.416666666666667</v>
      </c>
      <c r="N72" s="7">
        <f>Table3[[#This Row],[HeightFt]]*12</f>
        <v>65</v>
      </c>
      <c r="O72" s="9">
        <f>ROUND(Table3[[#This Row],[Weight]]/(Table3[[#This Row],[HtIn]]*Table3[[#This Row],[HtIn]])*703,0)</f>
        <v>24</v>
      </c>
      <c r="P72"/>
    </row>
    <row r="73" spans="1:16" x14ac:dyDescent="0.25">
      <c r="A73">
        <v>70</v>
      </c>
      <c r="B73" t="s">
        <v>0</v>
      </c>
      <c r="C73" t="s">
        <v>2</v>
      </c>
      <c r="D73" t="s">
        <v>72</v>
      </c>
      <c r="E73" t="s">
        <v>73</v>
      </c>
      <c r="F73">
        <v>140</v>
      </c>
      <c r="G73" s="4" t="s">
        <v>232</v>
      </c>
      <c r="H73" s="1">
        <v>34337</v>
      </c>
      <c r="I73" t="s">
        <v>74</v>
      </c>
      <c r="J73" t="s">
        <v>75</v>
      </c>
      <c r="K73" t="s">
        <v>14</v>
      </c>
      <c r="L73" s="8">
        <f ca="1">DATEDIF(Table3[[#This Row],[DOB]],TODAY(),"y")</f>
        <v>28</v>
      </c>
      <c r="M73" s="7">
        <f>SUM(LEFT(Table3[[#This Row],[Height]],1), RIGHT(Table3[[#This Row],[Height]], LEN(Table3[[#This Row],[Height]])-2)/12)</f>
        <v>5.5</v>
      </c>
      <c r="N73" s="7">
        <f>Table3[[#This Row],[HeightFt]]*12</f>
        <v>66</v>
      </c>
      <c r="O73" s="9">
        <f>ROUND(Table3[[#This Row],[Weight]]/(Table3[[#This Row],[HtIn]]*Table3[[#This Row],[HtIn]])*703,0)</f>
        <v>23</v>
      </c>
      <c r="P73"/>
    </row>
    <row r="74" spans="1:16" x14ac:dyDescent="0.25">
      <c r="A74">
        <v>71</v>
      </c>
      <c r="B74" t="s">
        <v>0</v>
      </c>
      <c r="C74" t="s">
        <v>2</v>
      </c>
      <c r="D74" t="s">
        <v>76</v>
      </c>
      <c r="E74" t="s">
        <v>77</v>
      </c>
      <c r="F74">
        <v>175</v>
      </c>
      <c r="G74" s="4" t="s">
        <v>175</v>
      </c>
      <c r="H74" s="1">
        <v>34447</v>
      </c>
      <c r="I74" t="s">
        <v>78</v>
      </c>
      <c r="J74" t="s">
        <v>13</v>
      </c>
      <c r="K74" t="s">
        <v>315</v>
      </c>
      <c r="L74" s="8">
        <f ca="1">DATEDIF(Table3[[#This Row],[DOB]],TODAY(),"y")</f>
        <v>27</v>
      </c>
      <c r="M74" s="7">
        <f>SUM(LEFT(Table3[[#This Row],[Height]],1), RIGHT(Table3[[#This Row],[Height]], LEN(Table3[[#This Row],[Height]])-2)/12)</f>
        <v>6</v>
      </c>
      <c r="N74" s="7">
        <f>Table3[[#This Row],[HeightFt]]*12</f>
        <v>72</v>
      </c>
      <c r="O74" s="9">
        <f>ROUND(Table3[[#This Row],[Weight]]/(Table3[[#This Row],[HtIn]]*Table3[[#This Row],[HtIn]])*703,0)</f>
        <v>24</v>
      </c>
      <c r="P74"/>
    </row>
    <row r="75" spans="1:16" x14ac:dyDescent="0.25">
      <c r="A75">
        <v>72</v>
      </c>
      <c r="B75" t="s">
        <v>1</v>
      </c>
      <c r="C75" t="s">
        <v>2</v>
      </c>
      <c r="D75" t="s">
        <v>79</v>
      </c>
      <c r="E75" t="s">
        <v>80</v>
      </c>
      <c r="F75">
        <v>170</v>
      </c>
      <c r="G75" s="4" t="s">
        <v>179</v>
      </c>
      <c r="H75" s="1">
        <v>32367</v>
      </c>
      <c r="I75" t="s">
        <v>81</v>
      </c>
      <c r="J75" t="s">
        <v>82</v>
      </c>
      <c r="K75" t="s">
        <v>14</v>
      </c>
      <c r="L75" s="8">
        <f ca="1">DATEDIF(Table3[[#This Row],[DOB]],TODAY(),"y")</f>
        <v>33</v>
      </c>
      <c r="M75" s="7">
        <f>SUM(LEFT(Table3[[#This Row],[Height]],1), RIGHT(Table3[[#This Row],[Height]], LEN(Table3[[#This Row],[Height]])-2)/12)</f>
        <v>5.666666666666667</v>
      </c>
      <c r="N75" s="7">
        <f>Table3[[#This Row],[HeightFt]]*12</f>
        <v>68</v>
      </c>
      <c r="O75" s="9">
        <f>ROUND(Table3[[#This Row],[Weight]]/(Table3[[#This Row],[HtIn]]*Table3[[#This Row],[HtIn]])*703,0)</f>
        <v>26</v>
      </c>
      <c r="P75"/>
    </row>
    <row r="76" spans="1:16" x14ac:dyDescent="0.25">
      <c r="A76">
        <v>73</v>
      </c>
      <c r="B76" t="s">
        <v>1</v>
      </c>
      <c r="C76" t="s">
        <v>2</v>
      </c>
      <c r="D76" t="s">
        <v>83</v>
      </c>
      <c r="E76" t="s">
        <v>84</v>
      </c>
      <c r="F76">
        <v>185</v>
      </c>
      <c r="G76" s="4" t="s">
        <v>209</v>
      </c>
      <c r="H76" s="1">
        <v>32654</v>
      </c>
      <c r="I76" t="s">
        <v>85</v>
      </c>
      <c r="J76" t="s">
        <v>39</v>
      </c>
      <c r="K76" t="s">
        <v>315</v>
      </c>
      <c r="L76" s="8">
        <f ca="1">DATEDIF(Table3[[#This Row],[DOB]],TODAY(),"y")</f>
        <v>32</v>
      </c>
      <c r="M76" s="7">
        <f>SUM(LEFT(Table3[[#This Row],[Height]],1), RIGHT(Table3[[#This Row],[Height]], LEN(Table3[[#This Row],[Height]])-2)/12)</f>
        <v>5.833333333333333</v>
      </c>
      <c r="N76" s="7">
        <f>Table3[[#This Row],[HeightFt]]*12</f>
        <v>70</v>
      </c>
      <c r="O76" s="9">
        <f>ROUND(Table3[[#This Row],[Weight]]/(Table3[[#This Row],[HtIn]]*Table3[[#This Row],[HtIn]])*703,0)</f>
        <v>27</v>
      </c>
      <c r="P76"/>
    </row>
    <row r="77" spans="1:16" x14ac:dyDescent="0.25">
      <c r="A77">
        <v>74</v>
      </c>
      <c r="B77" t="s">
        <v>1</v>
      </c>
      <c r="C77" t="s">
        <v>2</v>
      </c>
      <c r="D77" t="s">
        <v>86</v>
      </c>
      <c r="E77" t="s">
        <v>87</v>
      </c>
      <c r="F77">
        <v>195</v>
      </c>
      <c r="G77" s="4" t="s">
        <v>188</v>
      </c>
      <c r="H77" s="1">
        <v>32538</v>
      </c>
      <c r="I77" t="s">
        <v>154</v>
      </c>
      <c r="J77" t="s">
        <v>6</v>
      </c>
      <c r="K77" t="s">
        <v>315</v>
      </c>
      <c r="L77" s="8">
        <f ca="1">DATEDIF(Table3[[#This Row],[DOB]],TODAY(),"y")</f>
        <v>33</v>
      </c>
      <c r="M77" s="7">
        <f>SUM(LEFT(Table3[[#This Row],[Height]],1), RIGHT(Table3[[#This Row],[Height]], LEN(Table3[[#This Row],[Height]])-2)/12)</f>
        <v>6.083333333333333</v>
      </c>
      <c r="N77" s="7">
        <f>Table3[[#This Row],[HeightFt]]*12</f>
        <v>73</v>
      </c>
      <c r="O77" s="9">
        <f>ROUND(Table3[[#This Row],[Weight]]/(Table3[[#This Row],[HtIn]]*Table3[[#This Row],[HtIn]])*703,0)</f>
        <v>26</v>
      </c>
      <c r="P77"/>
    </row>
    <row r="78" spans="1:16" x14ac:dyDescent="0.25">
      <c r="A78">
        <v>75</v>
      </c>
      <c r="B78" t="s">
        <v>1</v>
      </c>
      <c r="C78" t="s">
        <v>2</v>
      </c>
      <c r="D78" t="s">
        <v>88</v>
      </c>
      <c r="E78" t="s">
        <v>89</v>
      </c>
      <c r="F78">
        <v>195</v>
      </c>
      <c r="G78" s="4" t="s">
        <v>182</v>
      </c>
      <c r="H78" s="1">
        <v>35418</v>
      </c>
      <c r="I78" t="s">
        <v>90</v>
      </c>
      <c r="J78" t="s">
        <v>13</v>
      </c>
      <c r="K78" t="s">
        <v>315</v>
      </c>
      <c r="L78" s="8">
        <f ca="1">DATEDIF(Table3[[#This Row],[DOB]],TODAY(),"y")</f>
        <v>25</v>
      </c>
      <c r="M78" s="7">
        <f>SUM(LEFT(Table3[[#This Row],[Height]],1), RIGHT(Table3[[#This Row],[Height]], LEN(Table3[[#This Row],[Height]])-2)/12)</f>
        <v>6.166666666666667</v>
      </c>
      <c r="N78" s="7">
        <f>Table3[[#This Row],[HeightFt]]*12</f>
        <v>74</v>
      </c>
      <c r="O78" s="9">
        <f>ROUND(Table3[[#This Row],[Weight]]/(Table3[[#This Row],[HtIn]]*Table3[[#This Row],[HtIn]])*703,0)</f>
        <v>25</v>
      </c>
      <c r="P78"/>
    </row>
    <row r="79" spans="1:16" x14ac:dyDescent="0.25">
      <c r="A79">
        <v>76</v>
      </c>
      <c r="B79" t="s">
        <v>1</v>
      </c>
      <c r="C79" t="s">
        <v>2</v>
      </c>
      <c r="D79" t="s">
        <v>91</v>
      </c>
      <c r="E79" t="s">
        <v>92</v>
      </c>
      <c r="F79">
        <v>180</v>
      </c>
      <c r="G79" s="4" t="s">
        <v>179</v>
      </c>
      <c r="H79" s="1">
        <v>31441</v>
      </c>
      <c r="I79" t="s">
        <v>155</v>
      </c>
      <c r="J79" t="s">
        <v>10</v>
      </c>
      <c r="K79" t="s">
        <v>14</v>
      </c>
      <c r="L79" s="8">
        <f ca="1">DATEDIF(Table3[[#This Row],[DOB]],TODAY(),"y")</f>
        <v>36</v>
      </c>
      <c r="M79" s="7">
        <f>SUM(LEFT(Table3[[#This Row],[Height]],1), RIGHT(Table3[[#This Row],[Height]], LEN(Table3[[#This Row],[Height]])-2)/12)</f>
        <v>5.666666666666667</v>
      </c>
      <c r="N79" s="7">
        <f>Table3[[#This Row],[HeightFt]]*12</f>
        <v>68</v>
      </c>
      <c r="O79" s="9">
        <f>ROUND(Table3[[#This Row],[Weight]]/(Table3[[#This Row],[HtIn]]*Table3[[#This Row],[HtIn]])*703,0)</f>
        <v>27</v>
      </c>
      <c r="P79"/>
    </row>
    <row r="80" spans="1:16" x14ac:dyDescent="0.25">
      <c r="A80">
        <v>77</v>
      </c>
      <c r="B80" t="s">
        <v>1</v>
      </c>
      <c r="C80" t="s">
        <v>2</v>
      </c>
      <c r="D80" t="s">
        <v>93</v>
      </c>
      <c r="E80" t="s">
        <v>94</v>
      </c>
      <c r="F80">
        <v>189</v>
      </c>
      <c r="G80" s="4" t="s">
        <v>175</v>
      </c>
      <c r="H80" s="1">
        <v>31893</v>
      </c>
      <c r="I80" t="s">
        <v>95</v>
      </c>
      <c r="J80" t="s">
        <v>10</v>
      </c>
      <c r="K80" t="s">
        <v>14</v>
      </c>
      <c r="L80" s="8">
        <f ca="1">DATEDIF(Table3[[#This Row],[DOB]],TODAY(),"y")</f>
        <v>34</v>
      </c>
      <c r="M80" s="7">
        <f>SUM(LEFT(Table3[[#This Row],[Height]],1), RIGHT(Table3[[#This Row],[Height]], LEN(Table3[[#This Row],[Height]])-2)/12)</f>
        <v>6</v>
      </c>
      <c r="N80" s="7">
        <f>Table3[[#This Row],[HeightFt]]*12</f>
        <v>72</v>
      </c>
      <c r="O80" s="9">
        <f>ROUND(Table3[[#This Row],[Weight]]/(Table3[[#This Row],[HtIn]]*Table3[[#This Row],[HtIn]])*703,0)</f>
        <v>26</v>
      </c>
      <c r="P80"/>
    </row>
    <row r="81" spans="1:16" x14ac:dyDescent="0.25">
      <c r="A81">
        <v>78</v>
      </c>
      <c r="B81" t="s">
        <v>1</v>
      </c>
      <c r="C81" t="s">
        <v>2</v>
      </c>
      <c r="D81" t="s">
        <v>96</v>
      </c>
      <c r="E81" t="s">
        <v>97</v>
      </c>
      <c r="F81">
        <v>196</v>
      </c>
      <c r="G81" s="4" t="s">
        <v>188</v>
      </c>
      <c r="H81" s="1">
        <v>35164</v>
      </c>
      <c r="I81" t="s">
        <v>98</v>
      </c>
      <c r="J81" t="s">
        <v>10</v>
      </c>
      <c r="K81" t="s">
        <v>14</v>
      </c>
      <c r="L81" s="8">
        <f ca="1">DATEDIF(Table3[[#This Row],[DOB]],TODAY(),"y")</f>
        <v>25</v>
      </c>
      <c r="M81" s="7">
        <f>SUM(LEFT(Table3[[#This Row],[Height]],1), RIGHT(Table3[[#This Row],[Height]], LEN(Table3[[#This Row],[Height]])-2)/12)</f>
        <v>6.083333333333333</v>
      </c>
      <c r="N81" s="7">
        <f>Table3[[#This Row],[HeightFt]]*12</f>
        <v>73</v>
      </c>
      <c r="O81" s="9">
        <f>ROUND(Table3[[#This Row],[Weight]]/(Table3[[#This Row],[HtIn]]*Table3[[#This Row],[HtIn]])*703,0)</f>
        <v>26</v>
      </c>
      <c r="P81"/>
    </row>
    <row r="82" spans="1:16" x14ac:dyDescent="0.25">
      <c r="A82">
        <v>79</v>
      </c>
      <c r="B82" t="s">
        <v>1</v>
      </c>
      <c r="C82" t="s">
        <v>2</v>
      </c>
      <c r="D82" t="s">
        <v>99</v>
      </c>
      <c r="E82" t="s">
        <v>100</v>
      </c>
      <c r="F82">
        <v>200</v>
      </c>
      <c r="G82" s="4" t="s">
        <v>188</v>
      </c>
      <c r="H82" s="1">
        <v>30883</v>
      </c>
      <c r="I82" t="s">
        <v>101</v>
      </c>
      <c r="J82" t="s">
        <v>65</v>
      </c>
      <c r="K82" t="s">
        <v>315</v>
      </c>
      <c r="L82" s="8">
        <f ca="1">DATEDIF(Table3[[#This Row],[DOB]],TODAY(),"y")</f>
        <v>37</v>
      </c>
      <c r="M82" s="7">
        <f>SUM(LEFT(Table3[[#This Row],[Height]],1), RIGHT(Table3[[#This Row],[Height]], LEN(Table3[[#This Row],[Height]])-2)/12)</f>
        <v>6.083333333333333</v>
      </c>
      <c r="N82" s="7">
        <f>Table3[[#This Row],[HeightFt]]*12</f>
        <v>73</v>
      </c>
      <c r="O82" s="9">
        <f>ROUND(Table3[[#This Row],[Weight]]/(Table3[[#This Row],[HtIn]]*Table3[[#This Row],[HtIn]])*703,0)</f>
        <v>26</v>
      </c>
      <c r="P82"/>
    </row>
    <row r="83" spans="1:16" x14ac:dyDescent="0.25">
      <c r="A83">
        <v>80</v>
      </c>
      <c r="B83" t="s">
        <v>1</v>
      </c>
      <c r="C83" t="s">
        <v>2</v>
      </c>
      <c r="D83" t="s">
        <v>102</v>
      </c>
      <c r="E83" t="s">
        <v>103</v>
      </c>
      <c r="F83">
        <v>175</v>
      </c>
      <c r="G83" s="4" t="s">
        <v>218</v>
      </c>
      <c r="H83" s="1">
        <v>28873</v>
      </c>
      <c r="I83" t="s">
        <v>104</v>
      </c>
      <c r="J83" t="s">
        <v>65</v>
      </c>
      <c r="K83" t="s">
        <v>14</v>
      </c>
      <c r="L83" s="8">
        <f ca="1">DATEDIF(Table3[[#This Row],[DOB]],TODAY(),"y")</f>
        <v>43</v>
      </c>
      <c r="M83" s="7">
        <f>SUM(LEFT(Table3[[#This Row],[Height]],1), RIGHT(Table3[[#This Row],[Height]], LEN(Table3[[#This Row],[Height]])-2)/12)</f>
        <v>5.583333333333333</v>
      </c>
      <c r="N83" s="7">
        <f>Table3[[#This Row],[HeightFt]]*12</f>
        <v>67</v>
      </c>
      <c r="O83" s="9">
        <f>ROUND(Table3[[#This Row],[Weight]]/(Table3[[#This Row],[HtIn]]*Table3[[#This Row],[HtIn]])*703,0)</f>
        <v>27</v>
      </c>
      <c r="P83"/>
    </row>
    <row r="84" spans="1:16" x14ac:dyDescent="0.25">
      <c r="A84">
        <v>81</v>
      </c>
      <c r="B84" t="s">
        <v>1</v>
      </c>
      <c r="C84" t="s">
        <v>2</v>
      </c>
      <c r="D84" t="s">
        <v>105</v>
      </c>
      <c r="E84" t="s">
        <v>106</v>
      </c>
      <c r="F84">
        <v>235</v>
      </c>
      <c r="G84" s="4" t="s">
        <v>308</v>
      </c>
      <c r="H84" s="1">
        <v>35477</v>
      </c>
      <c r="I84" t="s">
        <v>107</v>
      </c>
      <c r="J84" t="s">
        <v>65</v>
      </c>
      <c r="K84" t="s">
        <v>14</v>
      </c>
      <c r="L84" s="8">
        <f ca="1">DATEDIF(Table3[[#This Row],[DOB]],TODAY(),"y")</f>
        <v>25</v>
      </c>
      <c r="M84" s="7">
        <f>SUM(LEFT(Table3[[#This Row],[Height]],1), RIGHT(Table3[[#This Row],[Height]], LEN(Table3[[#This Row],[Height]])-2)/12)</f>
        <v>6.416666666666667</v>
      </c>
      <c r="N84" s="7">
        <f>Table3[[#This Row],[HeightFt]]*12</f>
        <v>77</v>
      </c>
      <c r="O84" s="9">
        <f>ROUND(Table3[[#This Row],[Weight]]/(Table3[[#This Row],[HtIn]]*Table3[[#This Row],[HtIn]])*703,0)</f>
        <v>28</v>
      </c>
      <c r="P84"/>
    </row>
    <row r="85" spans="1:16" x14ac:dyDescent="0.25">
      <c r="A85">
        <v>82</v>
      </c>
      <c r="B85" t="s">
        <v>1</v>
      </c>
      <c r="C85" t="s">
        <v>2</v>
      </c>
      <c r="D85" t="s">
        <v>96</v>
      </c>
      <c r="E85" t="s">
        <v>108</v>
      </c>
      <c r="F85">
        <v>170</v>
      </c>
      <c r="G85" s="4" t="s">
        <v>174</v>
      </c>
      <c r="H85" s="1">
        <v>31275</v>
      </c>
      <c r="I85" t="s">
        <v>109</v>
      </c>
      <c r="J85" t="s">
        <v>110</v>
      </c>
      <c r="K85" t="s">
        <v>315</v>
      </c>
      <c r="L85" s="8">
        <f ca="1">DATEDIF(Table3[[#This Row],[DOB]],TODAY(),"y")</f>
        <v>36</v>
      </c>
      <c r="M85" s="7">
        <f>SUM(LEFT(Table3[[#This Row],[Height]],1), RIGHT(Table3[[#This Row],[Height]], LEN(Table3[[#This Row],[Height]])-2)/12)</f>
        <v>5.75</v>
      </c>
      <c r="N85" s="7">
        <f>Table3[[#This Row],[HeightFt]]*12</f>
        <v>69</v>
      </c>
      <c r="O85" s="9">
        <f>ROUND(Table3[[#This Row],[Weight]]/(Table3[[#This Row],[HtIn]]*Table3[[#This Row],[HtIn]])*703,0)</f>
        <v>25</v>
      </c>
      <c r="P85"/>
    </row>
    <row r="86" spans="1:16" x14ac:dyDescent="0.25">
      <c r="A86">
        <v>83</v>
      </c>
      <c r="B86" t="s">
        <v>1</v>
      </c>
      <c r="C86" t="s">
        <v>2</v>
      </c>
      <c r="D86" t="s">
        <v>83</v>
      </c>
      <c r="E86" t="s">
        <v>111</v>
      </c>
      <c r="F86">
        <v>185</v>
      </c>
      <c r="G86" s="4" t="s">
        <v>168</v>
      </c>
      <c r="H86" s="1">
        <v>31438</v>
      </c>
      <c r="I86" t="s">
        <v>112</v>
      </c>
      <c r="J86" t="s">
        <v>110</v>
      </c>
      <c r="K86" t="s">
        <v>14</v>
      </c>
      <c r="L86" s="8">
        <f ca="1">DATEDIF(Table3[[#This Row],[DOB]],TODAY(),"y")</f>
        <v>36</v>
      </c>
      <c r="M86" s="7">
        <f>SUM(LEFT(Table3[[#This Row],[Height]],1), RIGHT(Table3[[#This Row],[Height]], LEN(Table3[[#This Row],[Height]])-2)/12)</f>
        <v>5.916666666666667</v>
      </c>
      <c r="N86" s="7">
        <f>Table3[[#This Row],[HeightFt]]*12</f>
        <v>71</v>
      </c>
      <c r="O86" s="9">
        <f>ROUND(Table3[[#This Row],[Weight]]/(Table3[[#This Row],[HtIn]]*Table3[[#This Row],[HtIn]])*703,0)</f>
        <v>26</v>
      </c>
      <c r="P86"/>
    </row>
    <row r="87" spans="1:16" x14ac:dyDescent="0.25">
      <c r="A87">
        <v>84</v>
      </c>
      <c r="B87" t="s">
        <v>1</v>
      </c>
      <c r="C87" t="s">
        <v>2</v>
      </c>
      <c r="D87" t="s">
        <v>113</v>
      </c>
      <c r="E87" t="s">
        <v>114</v>
      </c>
      <c r="F87">
        <v>185</v>
      </c>
      <c r="G87" s="4" t="s">
        <v>175</v>
      </c>
      <c r="H87" s="1">
        <v>30894</v>
      </c>
      <c r="I87" t="s">
        <v>64</v>
      </c>
      <c r="J87" t="s">
        <v>65</v>
      </c>
      <c r="K87" t="s">
        <v>35</v>
      </c>
      <c r="L87" s="8">
        <f ca="1">DATEDIF(Table3[[#This Row],[DOB]],TODAY(),"y")</f>
        <v>37</v>
      </c>
      <c r="M87" s="7">
        <f>SUM(LEFT(Table3[[#This Row],[Height]],1), RIGHT(Table3[[#This Row],[Height]], LEN(Table3[[#This Row],[Height]])-2)/12)</f>
        <v>6</v>
      </c>
      <c r="N87" s="7">
        <f>Table3[[#This Row],[HeightFt]]*12</f>
        <v>72</v>
      </c>
      <c r="O87" s="9">
        <f>ROUND(Table3[[#This Row],[Weight]]/(Table3[[#This Row],[HtIn]]*Table3[[#This Row],[HtIn]])*703,0)</f>
        <v>25</v>
      </c>
      <c r="P87"/>
    </row>
    <row r="88" spans="1:16" x14ac:dyDescent="0.25">
      <c r="A88">
        <v>85</v>
      </c>
      <c r="B88" t="s">
        <v>1</v>
      </c>
      <c r="C88" t="s">
        <v>2</v>
      </c>
      <c r="D88" t="s">
        <v>115</v>
      </c>
      <c r="E88" t="s">
        <v>116</v>
      </c>
      <c r="F88">
        <v>170</v>
      </c>
      <c r="G88" s="4" t="s">
        <v>174</v>
      </c>
      <c r="H88" s="1">
        <v>32226</v>
      </c>
      <c r="I88" t="s">
        <v>117</v>
      </c>
      <c r="J88" t="s">
        <v>118</v>
      </c>
      <c r="K88" t="s">
        <v>14</v>
      </c>
      <c r="L88" s="8">
        <f ca="1">DATEDIF(Table3[[#This Row],[DOB]],TODAY(),"y")</f>
        <v>34</v>
      </c>
      <c r="M88" s="7">
        <f>SUM(LEFT(Table3[[#This Row],[Height]],1), RIGHT(Table3[[#This Row],[Height]], LEN(Table3[[#This Row],[Height]])-2)/12)</f>
        <v>5.75</v>
      </c>
      <c r="N88" s="7">
        <f>Table3[[#This Row],[HeightFt]]*12</f>
        <v>69</v>
      </c>
      <c r="O88" s="9">
        <f>ROUND(Table3[[#This Row],[Weight]]/(Table3[[#This Row],[HtIn]]*Table3[[#This Row],[HtIn]])*703,0)</f>
        <v>25</v>
      </c>
      <c r="P88"/>
    </row>
    <row r="89" spans="1:16" x14ac:dyDescent="0.25">
      <c r="A89">
        <v>86</v>
      </c>
      <c r="B89" t="s">
        <v>1</v>
      </c>
      <c r="C89" t="s">
        <v>2</v>
      </c>
      <c r="D89" t="s">
        <v>119</v>
      </c>
      <c r="E89" t="s">
        <v>120</v>
      </c>
      <c r="F89">
        <v>196</v>
      </c>
      <c r="G89" s="4" t="s">
        <v>188</v>
      </c>
      <c r="H89" s="1">
        <v>33319</v>
      </c>
      <c r="I89" t="s">
        <v>156</v>
      </c>
      <c r="J89" t="s">
        <v>121</v>
      </c>
      <c r="K89" t="s">
        <v>35</v>
      </c>
      <c r="L89" s="8">
        <f ca="1">DATEDIF(Table3[[#This Row],[DOB]],TODAY(),"y")</f>
        <v>31</v>
      </c>
      <c r="M89" s="7">
        <f>SUM(LEFT(Table3[[#This Row],[Height]],1), RIGHT(Table3[[#This Row],[Height]], LEN(Table3[[#This Row],[Height]])-2)/12)</f>
        <v>6.083333333333333</v>
      </c>
      <c r="N89" s="7">
        <f>Table3[[#This Row],[HeightFt]]*12</f>
        <v>73</v>
      </c>
      <c r="O89" s="9">
        <f>ROUND(Table3[[#This Row],[Weight]]/(Table3[[#This Row],[HtIn]]*Table3[[#This Row],[HtIn]])*703,0)</f>
        <v>26</v>
      </c>
      <c r="P89"/>
    </row>
    <row r="90" spans="1:16" x14ac:dyDescent="0.25">
      <c r="A90">
        <v>87</v>
      </c>
      <c r="B90" t="s">
        <v>1</v>
      </c>
      <c r="C90" t="s">
        <v>2</v>
      </c>
      <c r="D90" t="s">
        <v>122</v>
      </c>
      <c r="E90" t="s">
        <v>123</v>
      </c>
      <c r="F90">
        <v>195</v>
      </c>
      <c r="G90" s="4" t="s">
        <v>188</v>
      </c>
      <c r="H90" s="1">
        <v>31633</v>
      </c>
      <c r="I90" t="s">
        <v>124</v>
      </c>
      <c r="J90" t="s">
        <v>10</v>
      </c>
      <c r="K90" t="s">
        <v>14</v>
      </c>
      <c r="L90" s="8">
        <f ca="1">DATEDIF(Table3[[#This Row],[DOB]],TODAY(),"y")</f>
        <v>35</v>
      </c>
      <c r="M90" s="7">
        <f>SUM(LEFT(Table3[[#This Row],[Height]],1), RIGHT(Table3[[#This Row],[Height]], LEN(Table3[[#This Row],[Height]])-2)/12)</f>
        <v>6.083333333333333</v>
      </c>
      <c r="N90" s="7">
        <f>Table3[[#This Row],[HeightFt]]*12</f>
        <v>73</v>
      </c>
      <c r="O90" s="9">
        <f>ROUND(Table3[[#This Row],[Weight]]/(Table3[[#This Row],[HtIn]]*Table3[[#This Row],[HtIn]])*703,0)</f>
        <v>26</v>
      </c>
      <c r="P90"/>
    </row>
    <row r="91" spans="1:16" x14ac:dyDescent="0.25">
      <c r="A91">
        <v>88</v>
      </c>
      <c r="B91" t="s">
        <v>1</v>
      </c>
      <c r="C91" t="s">
        <v>2</v>
      </c>
      <c r="D91" t="s">
        <v>102</v>
      </c>
      <c r="E91" t="s">
        <v>125</v>
      </c>
      <c r="F91">
        <v>174</v>
      </c>
      <c r="G91" s="4" t="s">
        <v>174</v>
      </c>
      <c r="H91" s="1">
        <v>32295</v>
      </c>
      <c r="I91" t="s">
        <v>126</v>
      </c>
      <c r="J91" t="s">
        <v>110</v>
      </c>
      <c r="K91" t="s">
        <v>14</v>
      </c>
      <c r="L91" s="8">
        <f ca="1">DATEDIF(Table3[[#This Row],[DOB]],TODAY(),"y")</f>
        <v>33</v>
      </c>
      <c r="M91" s="7">
        <f>SUM(LEFT(Table3[[#This Row],[Height]],1), RIGHT(Table3[[#This Row],[Height]], LEN(Table3[[#This Row],[Height]])-2)/12)</f>
        <v>5.75</v>
      </c>
      <c r="N91" s="7">
        <f>Table3[[#This Row],[HeightFt]]*12</f>
        <v>69</v>
      </c>
      <c r="O91" s="9">
        <f>ROUND(Table3[[#This Row],[Weight]]/(Table3[[#This Row],[HtIn]]*Table3[[#This Row],[HtIn]])*703,0)</f>
        <v>26</v>
      </c>
      <c r="P91"/>
    </row>
    <row r="92" spans="1:16" x14ac:dyDescent="0.25">
      <c r="A92">
        <v>89</v>
      </c>
      <c r="B92" t="s">
        <v>1</v>
      </c>
      <c r="C92" t="s">
        <v>2</v>
      </c>
      <c r="D92" t="s">
        <v>127</v>
      </c>
      <c r="E92" t="s">
        <v>128</v>
      </c>
      <c r="F92">
        <v>178</v>
      </c>
      <c r="G92" s="4" t="s">
        <v>174</v>
      </c>
      <c r="H92" s="1">
        <v>32195</v>
      </c>
      <c r="I92" t="s">
        <v>129</v>
      </c>
      <c r="J92" t="s">
        <v>130</v>
      </c>
      <c r="K92" t="s">
        <v>14</v>
      </c>
      <c r="L92" s="8">
        <f ca="1">DATEDIF(Table3[[#This Row],[DOB]],TODAY(),"y")</f>
        <v>34</v>
      </c>
      <c r="M92" s="7">
        <f>SUM(LEFT(Table3[[#This Row],[Height]],1), RIGHT(Table3[[#This Row],[Height]], LEN(Table3[[#This Row],[Height]])-2)/12)</f>
        <v>5.75</v>
      </c>
      <c r="N92" s="7">
        <f>Table3[[#This Row],[HeightFt]]*12</f>
        <v>69</v>
      </c>
      <c r="O92" s="9">
        <f>ROUND(Table3[[#This Row],[Weight]]/(Table3[[#This Row],[HtIn]]*Table3[[#This Row],[HtIn]])*703,0)</f>
        <v>26</v>
      </c>
      <c r="P92"/>
    </row>
    <row r="93" spans="1:16" x14ac:dyDescent="0.25">
      <c r="A93">
        <v>90</v>
      </c>
      <c r="B93" t="s">
        <v>1</v>
      </c>
      <c r="C93" t="s">
        <v>2</v>
      </c>
      <c r="D93" t="s">
        <v>93</v>
      </c>
      <c r="E93" t="s">
        <v>131</v>
      </c>
      <c r="F93">
        <v>190</v>
      </c>
      <c r="G93" s="4" t="s">
        <v>182</v>
      </c>
      <c r="H93" s="1">
        <v>32202</v>
      </c>
      <c r="I93" t="s">
        <v>132</v>
      </c>
      <c r="J93" t="s">
        <v>133</v>
      </c>
      <c r="K93" t="s">
        <v>315</v>
      </c>
      <c r="L93" s="8">
        <f ca="1">DATEDIF(Table3[[#This Row],[DOB]],TODAY(),"y")</f>
        <v>34</v>
      </c>
      <c r="M93" s="7">
        <f>SUM(LEFT(Table3[[#This Row],[Height]],1), RIGHT(Table3[[#This Row],[Height]], LEN(Table3[[#This Row],[Height]])-2)/12)</f>
        <v>6.166666666666667</v>
      </c>
      <c r="N93" s="7">
        <f>Table3[[#This Row],[HeightFt]]*12</f>
        <v>74</v>
      </c>
      <c r="O93" s="9">
        <f>ROUND(Table3[[#This Row],[Weight]]/(Table3[[#This Row],[HtIn]]*Table3[[#This Row],[HtIn]])*703,0)</f>
        <v>24</v>
      </c>
      <c r="P93"/>
    </row>
    <row r="94" spans="1:16" x14ac:dyDescent="0.25">
      <c r="A94">
        <v>91</v>
      </c>
      <c r="B94" t="s">
        <v>1</v>
      </c>
      <c r="C94" t="s">
        <v>2</v>
      </c>
      <c r="D94" t="s">
        <v>134</v>
      </c>
      <c r="E94" t="s">
        <v>135</v>
      </c>
      <c r="F94">
        <v>200</v>
      </c>
      <c r="G94" s="4" t="s">
        <v>175</v>
      </c>
      <c r="H94" s="1">
        <v>30294</v>
      </c>
      <c r="I94" t="s">
        <v>136</v>
      </c>
      <c r="J94" t="s">
        <v>39</v>
      </c>
      <c r="K94" t="s">
        <v>14</v>
      </c>
      <c r="L94" s="8">
        <f ca="1">DATEDIF(Table3[[#This Row],[DOB]],TODAY(),"y")</f>
        <v>39</v>
      </c>
      <c r="M94" s="7">
        <f>SUM(LEFT(Table3[[#This Row],[Height]],1), RIGHT(Table3[[#This Row],[Height]], LEN(Table3[[#This Row],[Height]])-2)/12)</f>
        <v>6</v>
      </c>
      <c r="N94" s="7">
        <f>Table3[[#This Row],[HeightFt]]*12</f>
        <v>72</v>
      </c>
      <c r="O94" s="9">
        <f>ROUND(Table3[[#This Row],[Weight]]/(Table3[[#This Row],[HtIn]]*Table3[[#This Row],[HtIn]])*703,0)</f>
        <v>27</v>
      </c>
      <c r="P94"/>
    </row>
    <row r="95" spans="1:16" x14ac:dyDescent="0.25">
      <c r="A95">
        <v>92</v>
      </c>
      <c r="B95" t="s">
        <v>1</v>
      </c>
      <c r="C95" t="s">
        <v>2</v>
      </c>
      <c r="D95" t="s">
        <v>96</v>
      </c>
      <c r="E95" t="s">
        <v>137</v>
      </c>
      <c r="F95">
        <v>210</v>
      </c>
      <c r="G95" s="4" t="s">
        <v>171</v>
      </c>
      <c r="H95" s="1">
        <v>31880</v>
      </c>
      <c r="I95" t="s">
        <v>138</v>
      </c>
      <c r="J95" t="s">
        <v>13</v>
      </c>
      <c r="K95" t="s">
        <v>14</v>
      </c>
      <c r="L95" s="8">
        <f ca="1">DATEDIF(Table3[[#This Row],[DOB]],TODAY(),"y")</f>
        <v>34</v>
      </c>
      <c r="M95" s="7">
        <f>SUM(LEFT(Table3[[#This Row],[Height]],1), RIGHT(Table3[[#This Row],[Height]], LEN(Table3[[#This Row],[Height]])-2)/12)</f>
        <v>6.25</v>
      </c>
      <c r="N95" s="7">
        <f>Table3[[#This Row],[HeightFt]]*12</f>
        <v>75</v>
      </c>
      <c r="O95" s="9">
        <f>ROUND(Table3[[#This Row],[Weight]]/(Table3[[#This Row],[HtIn]]*Table3[[#This Row],[HtIn]])*703,0)</f>
        <v>26</v>
      </c>
      <c r="P95"/>
    </row>
    <row r="96" spans="1:16" x14ac:dyDescent="0.25">
      <c r="A96">
        <v>93</v>
      </c>
      <c r="B96" t="s">
        <v>1</v>
      </c>
      <c r="C96" t="s">
        <v>2</v>
      </c>
      <c r="D96" t="s">
        <v>139</v>
      </c>
      <c r="E96" t="s">
        <v>140</v>
      </c>
      <c r="F96">
        <v>179</v>
      </c>
      <c r="G96" s="4" t="s">
        <v>175</v>
      </c>
      <c r="H96" s="1">
        <v>35683</v>
      </c>
      <c r="I96" t="s">
        <v>157</v>
      </c>
      <c r="J96" t="s">
        <v>34</v>
      </c>
      <c r="K96" t="s">
        <v>14</v>
      </c>
      <c r="L96" s="8">
        <f ca="1">DATEDIF(Table3[[#This Row],[DOB]],TODAY(),"y")</f>
        <v>24</v>
      </c>
      <c r="M96" s="7">
        <f>SUM(LEFT(Table3[[#This Row],[Height]],1), RIGHT(Table3[[#This Row],[Height]], LEN(Table3[[#This Row],[Height]])-2)/12)</f>
        <v>6</v>
      </c>
      <c r="N96" s="7">
        <f>Table3[[#This Row],[HeightFt]]*12</f>
        <v>72</v>
      </c>
      <c r="O96" s="9">
        <f>ROUND(Table3[[#This Row],[Weight]]/(Table3[[#This Row],[HtIn]]*Table3[[#This Row],[HtIn]])*703,0)</f>
        <v>24</v>
      </c>
      <c r="P96"/>
    </row>
    <row r="97" spans="1:16" x14ac:dyDescent="0.25">
      <c r="A97">
        <v>94</v>
      </c>
      <c r="B97" t="s">
        <v>1</v>
      </c>
      <c r="C97" t="s">
        <v>2</v>
      </c>
      <c r="D97" t="s">
        <v>141</v>
      </c>
      <c r="E97" t="s">
        <v>142</v>
      </c>
      <c r="F97">
        <v>215</v>
      </c>
      <c r="G97" s="4" t="s">
        <v>309</v>
      </c>
      <c r="H97" s="1">
        <v>30189</v>
      </c>
      <c r="I97" t="s">
        <v>143</v>
      </c>
      <c r="J97" t="s">
        <v>10</v>
      </c>
      <c r="K97" t="s">
        <v>315</v>
      </c>
      <c r="L97" s="8">
        <f ca="1">DATEDIF(Table3[[#This Row],[DOB]],TODAY(),"y")</f>
        <v>39</v>
      </c>
      <c r="M97" s="7">
        <f>SUM(LEFT(Table3[[#This Row],[Height]],1), RIGHT(Table3[[#This Row],[Height]], LEN(Table3[[#This Row],[Height]])-2)/12)</f>
        <v>6.333333333333333</v>
      </c>
      <c r="N97" s="7">
        <f>Table3[[#This Row],[HeightFt]]*12</f>
        <v>76</v>
      </c>
      <c r="O97" s="9">
        <f>ROUND(Table3[[#This Row],[Weight]]/(Table3[[#This Row],[HtIn]]*Table3[[#This Row],[HtIn]])*703,0)</f>
        <v>26</v>
      </c>
      <c r="P97"/>
    </row>
    <row r="98" spans="1:16" x14ac:dyDescent="0.25">
      <c r="A98">
        <v>95</v>
      </c>
      <c r="B98" t="s">
        <v>1</v>
      </c>
      <c r="C98" t="s">
        <v>2</v>
      </c>
      <c r="D98" t="s">
        <v>144</v>
      </c>
      <c r="E98" t="s">
        <v>145</v>
      </c>
      <c r="F98">
        <v>205</v>
      </c>
      <c r="G98" s="4" t="s">
        <v>175</v>
      </c>
      <c r="H98" s="1">
        <v>30733</v>
      </c>
      <c r="I98" t="s">
        <v>107</v>
      </c>
      <c r="J98" t="s">
        <v>39</v>
      </c>
      <c r="K98" t="s">
        <v>315</v>
      </c>
      <c r="L98" s="8">
        <f ca="1">DATEDIF(Table3[[#This Row],[DOB]],TODAY(),"y")</f>
        <v>38</v>
      </c>
      <c r="M98" s="7">
        <f>SUM(LEFT(Table3[[#This Row],[Height]],1), RIGHT(Table3[[#This Row],[Height]], LEN(Table3[[#This Row],[Height]])-2)/12)</f>
        <v>6</v>
      </c>
      <c r="N98" s="7">
        <f>Table3[[#This Row],[HeightFt]]*12</f>
        <v>72</v>
      </c>
      <c r="O98" s="9">
        <f>ROUND(Table3[[#This Row],[Weight]]/(Table3[[#This Row],[HtIn]]*Table3[[#This Row],[HtIn]])*703,0)</f>
        <v>28</v>
      </c>
      <c r="P98"/>
    </row>
    <row r="99" spans="1:16" x14ac:dyDescent="0.25">
      <c r="A99">
        <v>96</v>
      </c>
      <c r="B99" t="s">
        <v>1</v>
      </c>
      <c r="C99" t="s">
        <v>2</v>
      </c>
      <c r="D99" t="s">
        <v>96</v>
      </c>
      <c r="E99" t="s">
        <v>146</v>
      </c>
      <c r="F99">
        <v>203</v>
      </c>
      <c r="G99" s="4" t="s">
        <v>175</v>
      </c>
      <c r="H99" s="1">
        <v>31727</v>
      </c>
      <c r="I99" t="s">
        <v>147</v>
      </c>
      <c r="J99" t="s">
        <v>110</v>
      </c>
      <c r="K99" t="s">
        <v>35</v>
      </c>
      <c r="L99" s="8">
        <f ca="1">DATEDIF(Table3[[#This Row],[DOB]],TODAY(),"y")</f>
        <v>35</v>
      </c>
      <c r="M99" s="7">
        <f>SUM(LEFT(Table3[[#This Row],[Height]],1), RIGHT(Table3[[#This Row],[Height]], LEN(Table3[[#This Row],[Height]])-2)/12)</f>
        <v>6</v>
      </c>
      <c r="N99" s="7">
        <f>Table3[[#This Row],[HeightFt]]*12</f>
        <v>72</v>
      </c>
      <c r="O99" s="9">
        <f>ROUND(Table3[[#This Row],[Weight]]/(Table3[[#This Row],[HtIn]]*Table3[[#This Row],[HtIn]])*703,0)</f>
        <v>28</v>
      </c>
      <c r="P9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Windows User</cp:lastModifiedBy>
  <dcterms:created xsi:type="dcterms:W3CDTF">2018-02-22T15:12:51Z</dcterms:created>
  <dcterms:modified xsi:type="dcterms:W3CDTF">2022-03-28T01:06:27Z</dcterms:modified>
</cp:coreProperties>
</file>